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vrsi-dc4\Projects\General Motors\Orion (ORN)\9628-003 - ZJ040 - NFP 3\"/>
    </mc:Choice>
  </mc:AlternateContent>
  <xr:revisionPtr revIDLastSave="0" documentId="13_ncr:1_{E199F35C-2AC4-44B7-A0A7-64FC8032B299}" xr6:coauthVersionLast="47" xr6:coauthVersionMax="47" xr10:uidLastSave="{00000000-0000-0000-0000-000000000000}"/>
  <bookViews>
    <workbookView xWindow="-51720" yWindow="-120" windowWidth="51840" windowHeight="21120" tabRatio="771" activeTab="8" xr2:uid="{A5C877BA-3DA7-445C-97A5-A6E5990CD326}"/>
  </bookViews>
  <sheets>
    <sheet name="Cell Info" sheetId="20" r:id="rId1"/>
    <sheet name="Device Cables" sheetId="3" r:id="rId2"/>
    <sheet name="PRNT Device Cables" sheetId="2" r:id="rId3"/>
    <sheet name="PRNT Device Labels" sheetId="10" r:id="rId4"/>
    <sheet name="Artifact Labels" sheetId="19" r:id="rId5"/>
    <sheet name="PRNT Artifact Labels" sheetId="12" r:id="rId6"/>
    <sheet name="Air Handler &amp; Pedestal Labels" sheetId="21" state="hidden" r:id="rId7"/>
    <sheet name="PRNT AH &amp; PED Labels" sheetId="22" state="hidden" r:id="rId8"/>
    <sheet name="ENC to Device Cables" sheetId="5" r:id="rId9"/>
    <sheet name="PRNT ENC Cables" sheetId="6" r:id="rId10"/>
    <sheet name="PRNT ENC Devices" sheetId="15" r:id="rId11"/>
    <sheet name="ENC Labels" sheetId="14" r:id="rId12"/>
    <sheet name="PRNT ENC Labels" sheetId="8" r:id="rId13"/>
    <sheet name="Stand labels" sheetId="11" r:id="rId14"/>
    <sheet name="PRNT Stand labels" sheetId="16" r:id="rId15"/>
    <sheet name="JIG DETAIL LABELS" sheetId="17" state="hidden" r:id="rId16"/>
    <sheet name="PRNT JIG DETAIL LABELS" sheetId="18" state="hidden" r:id="rId17"/>
    <sheet name="FORMULA" sheetId="1" state="hidden" r:id="rId18"/>
    <sheet name="LOOKUP" sheetId="4" state="hidden" r:id="rId19"/>
  </sheets>
  <definedNames>
    <definedName name="_xlnm.Print_Area" localSheetId="6">'Air Handler &amp; Pedestal Labels'!$A$1:$D$17</definedName>
    <definedName name="_xlnm.Print_Area" localSheetId="4">'Artifact Labels'!$A$1:$D$16</definedName>
    <definedName name="_xlnm.Print_Area" localSheetId="0">'Cell Info'!$A$1:$F$21</definedName>
    <definedName name="_xlnm.Print_Area" localSheetId="1">'Device Cables'!$K$1:$Q$44</definedName>
    <definedName name="_xlnm.Print_Area" localSheetId="11">'ENC Labels'!$H$7:$X$36</definedName>
    <definedName name="_xlnm.Print_Area" localSheetId="8">'ENC to Device Cables'!$L$1:$T$60</definedName>
    <definedName name="_xlnm.Print_Area" localSheetId="2">'PRNT Device Cables'!$A$1:$B$52</definedName>
    <definedName name="_xlnm.Print_Area" localSheetId="9">'PRNT ENC Cables'!$A$1:$D$101</definedName>
    <definedName name="_xlnm.Print_Area" localSheetId="12">'PRNT ENC Labels'!$A$1:$D$52</definedName>
    <definedName name="_xlnm.Print_Area" localSheetId="13">'Stand labels'!$A$1:$H$97</definedName>
    <definedName name="_xlnm.Print_Titles" localSheetId="1">'Device Cables'!$1:$4</definedName>
    <definedName name="_xlnm.Print_Titles" localSheetId="8">'ENC to Device Cables'!$1:$4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5" l="1"/>
  <c r="M59" i="5"/>
  <c r="H54" i="5"/>
  <c r="H53" i="5"/>
  <c r="D3" i="16"/>
  <c r="D4" i="16"/>
  <c r="D5" i="16"/>
  <c r="D6" i="16"/>
  <c r="D2" i="16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 s="1"/>
  <c r="C6" i="6"/>
  <c r="D6" i="6"/>
  <c r="A7" i="6"/>
  <c r="C7" i="6" s="1"/>
  <c r="B7" i="6"/>
  <c r="D7" i="6"/>
  <c r="A8" i="6"/>
  <c r="B8" i="6" s="1"/>
  <c r="C8" i="6"/>
  <c r="D8" i="6"/>
  <c r="A9" i="6"/>
  <c r="B9" i="6"/>
  <c r="C9" i="6"/>
  <c r="D9" i="6"/>
  <c r="A10" i="6"/>
  <c r="A11" i="6"/>
  <c r="B11" i="6" s="1"/>
  <c r="C11" i="6"/>
  <c r="D11" i="6"/>
  <c r="A12" i="6"/>
  <c r="D12" i="6"/>
  <c r="A13" i="6"/>
  <c r="A14" i="6"/>
  <c r="A15" i="6"/>
  <c r="B15" i="6"/>
  <c r="C15" i="6"/>
  <c r="D15" i="6"/>
  <c r="A16" i="6"/>
  <c r="B16" i="6" s="1"/>
  <c r="C16" i="6"/>
  <c r="D16" i="6"/>
  <c r="A17" i="6"/>
  <c r="A18" i="6"/>
  <c r="A19" i="6"/>
  <c r="A20" i="6"/>
  <c r="B20" i="6"/>
  <c r="C20" i="6"/>
  <c r="D20" i="6"/>
  <c r="A21" i="6"/>
  <c r="A22" i="6"/>
  <c r="A23" i="6"/>
  <c r="A24" i="6"/>
  <c r="A25" i="6"/>
  <c r="A26" i="6"/>
  <c r="A27" i="6"/>
  <c r="A28" i="6"/>
  <c r="D28" i="6"/>
  <c r="A29" i="6"/>
  <c r="D29" i="6"/>
  <c r="A30" i="6"/>
  <c r="A31" i="6"/>
  <c r="B31" i="6" s="1"/>
  <c r="C31" i="6"/>
  <c r="D31" i="6"/>
  <c r="A32" i="6"/>
  <c r="A33" i="6"/>
  <c r="A34" i="6"/>
  <c r="A35" i="6"/>
  <c r="A36" i="6"/>
  <c r="D36" i="6"/>
  <c r="A37" i="6"/>
  <c r="D37" i="6"/>
  <c r="A38" i="6"/>
  <c r="A39" i="6"/>
  <c r="A40" i="6"/>
  <c r="B40" i="6" s="1"/>
  <c r="C40" i="6"/>
  <c r="D40" i="6"/>
  <c r="A41" i="6"/>
  <c r="D41" i="6"/>
  <c r="A42" i="6"/>
  <c r="B42" i="6" s="1"/>
  <c r="C42" i="6"/>
  <c r="D42" i="6"/>
  <c r="A43" i="6"/>
  <c r="B43" i="6"/>
  <c r="C43" i="6"/>
  <c r="D43" i="6"/>
  <c r="A44" i="6"/>
  <c r="A45" i="6"/>
  <c r="D45" i="6"/>
  <c r="A46" i="6"/>
  <c r="D46" i="6"/>
  <c r="A47" i="6"/>
  <c r="A48" i="6"/>
  <c r="B48" i="6" s="1"/>
  <c r="C48" i="6"/>
  <c r="D48" i="6"/>
  <c r="A49" i="6"/>
  <c r="B49" i="6" s="1"/>
  <c r="C49" i="6"/>
  <c r="D49" i="6"/>
  <c r="A50" i="6"/>
  <c r="C50" i="6"/>
  <c r="A51" i="6"/>
  <c r="B51" i="6" s="1"/>
  <c r="C51" i="6"/>
  <c r="D51" i="6"/>
  <c r="A52" i="6"/>
  <c r="B52" i="6" s="1"/>
  <c r="C52" i="6"/>
  <c r="D52" i="6"/>
  <c r="A53" i="6"/>
  <c r="A54" i="6"/>
  <c r="B54" i="6" s="1"/>
  <c r="C54" i="6"/>
  <c r="D54" i="6"/>
  <c r="A55" i="6"/>
  <c r="B55" i="6" s="1"/>
  <c r="C55" i="6"/>
  <c r="D55" i="6"/>
  <c r="A56" i="6"/>
  <c r="A57" i="6"/>
  <c r="C57" i="6"/>
  <c r="A58" i="6"/>
  <c r="D58" i="6"/>
  <c r="H60" i="5"/>
  <c r="H59" i="5"/>
  <c r="H57" i="5"/>
  <c r="D57" i="5"/>
  <c r="C55" i="5"/>
  <c r="H58" i="5" s="1"/>
  <c r="D51" i="5"/>
  <c r="D47" i="5"/>
  <c r="D43" i="5"/>
  <c r="W52" i="5"/>
  <c r="G52" i="5"/>
  <c r="R52" i="5" s="1"/>
  <c r="F52" i="5"/>
  <c r="Q52" i="5" s="1"/>
  <c r="W51" i="5"/>
  <c r="P51" i="5"/>
  <c r="H51" i="5"/>
  <c r="S51" i="5" s="1"/>
  <c r="G51" i="5"/>
  <c r="R51" i="5" s="1"/>
  <c r="F51" i="5"/>
  <c r="Q51" i="5" s="1"/>
  <c r="W50" i="5"/>
  <c r="G50" i="5"/>
  <c r="R50" i="5" s="1"/>
  <c r="F50" i="5"/>
  <c r="Q50" i="5" s="1"/>
  <c r="W49" i="5"/>
  <c r="P49" i="5"/>
  <c r="O49" i="5"/>
  <c r="M49" i="5"/>
  <c r="L49" i="5"/>
  <c r="H49" i="5"/>
  <c r="S49" i="5" s="1"/>
  <c r="G49" i="5"/>
  <c r="R49" i="5" s="1"/>
  <c r="F49" i="5"/>
  <c r="Q49" i="5" s="1"/>
  <c r="C49" i="5"/>
  <c r="W48" i="5"/>
  <c r="G48" i="5"/>
  <c r="R48" i="5" s="1"/>
  <c r="F48" i="5"/>
  <c r="Q48" i="5" s="1"/>
  <c r="W47" i="5"/>
  <c r="P47" i="5"/>
  <c r="H47" i="5"/>
  <c r="S47" i="5" s="1"/>
  <c r="G47" i="5"/>
  <c r="R47" i="5" s="1"/>
  <c r="F47" i="5"/>
  <c r="Q47" i="5" s="1"/>
  <c r="W46" i="5"/>
  <c r="G46" i="5"/>
  <c r="R46" i="5" s="1"/>
  <c r="F46" i="5"/>
  <c r="Q46" i="5" s="1"/>
  <c r="W45" i="5"/>
  <c r="P45" i="5"/>
  <c r="O45" i="5"/>
  <c r="M45" i="5"/>
  <c r="L45" i="5"/>
  <c r="H45" i="5"/>
  <c r="S45" i="5" s="1"/>
  <c r="G45" i="5"/>
  <c r="R45" i="5" s="1"/>
  <c r="F45" i="5"/>
  <c r="Q45" i="5" s="1"/>
  <c r="C45" i="5"/>
  <c r="W44" i="5"/>
  <c r="G44" i="5"/>
  <c r="R44" i="5" s="1"/>
  <c r="F44" i="5"/>
  <c r="Q44" i="5" s="1"/>
  <c r="W43" i="5"/>
  <c r="P43" i="5"/>
  <c r="H43" i="5"/>
  <c r="S43" i="5" s="1"/>
  <c r="G43" i="5"/>
  <c r="R43" i="5" s="1"/>
  <c r="F43" i="5"/>
  <c r="Q43" i="5" s="1"/>
  <c r="W42" i="5"/>
  <c r="G42" i="5"/>
  <c r="R42" i="5" s="1"/>
  <c r="F42" i="5"/>
  <c r="Q42" i="5" s="1"/>
  <c r="W41" i="5"/>
  <c r="P41" i="5"/>
  <c r="O41" i="5"/>
  <c r="M41" i="5"/>
  <c r="L41" i="5"/>
  <c r="H41" i="5"/>
  <c r="S41" i="5" s="1"/>
  <c r="G41" i="5"/>
  <c r="R41" i="5" s="1"/>
  <c r="F41" i="5"/>
  <c r="Q41" i="5" s="1"/>
  <c r="C41" i="5"/>
  <c r="W40" i="5"/>
  <c r="G40" i="5"/>
  <c r="R40" i="5" s="1"/>
  <c r="F40" i="5"/>
  <c r="Q40" i="5" s="1"/>
  <c r="W39" i="5"/>
  <c r="P39" i="5"/>
  <c r="H39" i="5"/>
  <c r="S39" i="5" s="1"/>
  <c r="G39" i="5"/>
  <c r="R39" i="5" s="1"/>
  <c r="F39" i="5"/>
  <c r="Q39" i="5" s="1"/>
  <c r="D39" i="5"/>
  <c r="W38" i="5"/>
  <c r="G38" i="5"/>
  <c r="R38" i="5" s="1"/>
  <c r="F38" i="5"/>
  <c r="Q38" i="5" s="1"/>
  <c r="W37" i="5"/>
  <c r="P37" i="5"/>
  <c r="O37" i="5"/>
  <c r="M37" i="5"/>
  <c r="L37" i="5"/>
  <c r="H37" i="5"/>
  <c r="S37" i="5" s="1"/>
  <c r="G37" i="5"/>
  <c r="R37" i="5" s="1"/>
  <c r="F37" i="5"/>
  <c r="Q37" i="5" s="1"/>
  <c r="C37" i="5"/>
  <c r="W36" i="5"/>
  <c r="G36" i="5"/>
  <c r="R36" i="5" s="1"/>
  <c r="F36" i="5"/>
  <c r="Q36" i="5" s="1"/>
  <c r="W35" i="5"/>
  <c r="P35" i="5"/>
  <c r="H35" i="5"/>
  <c r="S35" i="5" s="1"/>
  <c r="G35" i="5"/>
  <c r="R35" i="5" s="1"/>
  <c r="F35" i="5"/>
  <c r="Q35" i="5" s="1"/>
  <c r="D35" i="5"/>
  <c r="W34" i="5"/>
  <c r="G34" i="5"/>
  <c r="R34" i="5" s="1"/>
  <c r="F34" i="5"/>
  <c r="Q34" i="5" s="1"/>
  <c r="W33" i="5"/>
  <c r="P33" i="5"/>
  <c r="O33" i="5"/>
  <c r="M33" i="5"/>
  <c r="L33" i="5"/>
  <c r="H33" i="5"/>
  <c r="S33" i="5" s="1"/>
  <c r="G33" i="5"/>
  <c r="R33" i="5" s="1"/>
  <c r="F33" i="5"/>
  <c r="Q33" i="5" s="1"/>
  <c r="C33" i="5"/>
  <c r="W32" i="5"/>
  <c r="G32" i="5"/>
  <c r="R32" i="5" s="1"/>
  <c r="F32" i="5"/>
  <c r="Q32" i="5" s="1"/>
  <c r="W31" i="5"/>
  <c r="P31" i="5"/>
  <c r="H31" i="5"/>
  <c r="S31" i="5" s="1"/>
  <c r="G31" i="5"/>
  <c r="R31" i="5" s="1"/>
  <c r="F31" i="5"/>
  <c r="Q31" i="5" s="1"/>
  <c r="D31" i="5"/>
  <c r="W30" i="5"/>
  <c r="G30" i="5"/>
  <c r="R30" i="5" s="1"/>
  <c r="F30" i="5"/>
  <c r="Q30" i="5" s="1"/>
  <c r="W29" i="5"/>
  <c r="P29" i="5"/>
  <c r="O29" i="5"/>
  <c r="M29" i="5"/>
  <c r="L29" i="5"/>
  <c r="H29" i="5"/>
  <c r="S29" i="5" s="1"/>
  <c r="G29" i="5"/>
  <c r="R29" i="5" s="1"/>
  <c r="F29" i="5"/>
  <c r="Q29" i="5" s="1"/>
  <c r="C29" i="5"/>
  <c r="W28" i="5"/>
  <c r="G28" i="5"/>
  <c r="R28" i="5" s="1"/>
  <c r="F28" i="5"/>
  <c r="Q28" i="5" s="1"/>
  <c r="W27" i="5"/>
  <c r="P27" i="5"/>
  <c r="H27" i="5"/>
  <c r="S27" i="5" s="1"/>
  <c r="G27" i="5"/>
  <c r="R27" i="5" s="1"/>
  <c r="F27" i="5"/>
  <c r="Q27" i="5" s="1"/>
  <c r="D27" i="5"/>
  <c r="W26" i="5"/>
  <c r="G26" i="5"/>
  <c r="R26" i="5" s="1"/>
  <c r="F26" i="5"/>
  <c r="Q26" i="5" s="1"/>
  <c r="W25" i="5"/>
  <c r="P25" i="5"/>
  <c r="O25" i="5"/>
  <c r="M25" i="5"/>
  <c r="H25" i="5"/>
  <c r="S25" i="5" s="1"/>
  <c r="G25" i="5"/>
  <c r="R25" i="5" s="1"/>
  <c r="F25" i="5"/>
  <c r="Q25" i="5" s="1"/>
  <c r="C25" i="5"/>
  <c r="W24" i="5"/>
  <c r="H24" i="5"/>
  <c r="S24" i="5" s="1"/>
  <c r="G24" i="5"/>
  <c r="R24" i="5" s="1"/>
  <c r="F24" i="5"/>
  <c r="Q24" i="5" s="1"/>
  <c r="W23" i="5"/>
  <c r="P23" i="5"/>
  <c r="H23" i="5"/>
  <c r="S23" i="5" s="1"/>
  <c r="G23" i="5"/>
  <c r="R23" i="5" s="1"/>
  <c r="F23" i="5"/>
  <c r="Q23" i="5" s="1"/>
  <c r="D23" i="5"/>
  <c r="W22" i="5"/>
  <c r="H22" i="5"/>
  <c r="S22" i="5" s="1"/>
  <c r="G22" i="5"/>
  <c r="R22" i="5" s="1"/>
  <c r="F22" i="5"/>
  <c r="Q22" i="5" s="1"/>
  <c r="W21" i="5"/>
  <c r="P21" i="5"/>
  <c r="O21" i="5"/>
  <c r="N21" i="5"/>
  <c r="M21" i="5"/>
  <c r="H21" i="5"/>
  <c r="S21" i="5" s="1"/>
  <c r="G21" i="5"/>
  <c r="R21" i="5" s="1"/>
  <c r="F21" i="5"/>
  <c r="Q21" i="5" s="1"/>
  <c r="W20" i="5"/>
  <c r="H20" i="5"/>
  <c r="S20" i="5" s="1"/>
  <c r="G20" i="5"/>
  <c r="R20" i="5" s="1"/>
  <c r="F20" i="5"/>
  <c r="Q20" i="5" s="1"/>
  <c r="W19" i="5"/>
  <c r="P19" i="5"/>
  <c r="H19" i="5"/>
  <c r="S19" i="5" s="1"/>
  <c r="G19" i="5"/>
  <c r="R19" i="5" s="1"/>
  <c r="F19" i="5"/>
  <c r="Q19" i="5" s="1"/>
  <c r="D19" i="5"/>
  <c r="W18" i="5"/>
  <c r="H18" i="5"/>
  <c r="S18" i="5" s="1"/>
  <c r="G18" i="5"/>
  <c r="R18" i="5" s="1"/>
  <c r="F18" i="5"/>
  <c r="Q18" i="5" s="1"/>
  <c r="W17" i="5"/>
  <c r="P17" i="5"/>
  <c r="O17" i="5"/>
  <c r="N17" i="5"/>
  <c r="M17" i="5"/>
  <c r="L17" i="5"/>
  <c r="H17" i="5"/>
  <c r="S17" i="5" s="1"/>
  <c r="G17" i="5"/>
  <c r="R17" i="5" s="1"/>
  <c r="F17" i="5"/>
  <c r="Q17" i="5" s="1"/>
  <c r="B3" i="19"/>
  <c r="B2" i="19"/>
  <c r="D40" i="3"/>
  <c r="D38" i="3"/>
  <c r="D36" i="3"/>
  <c r="D34" i="3"/>
  <c r="D32" i="3"/>
  <c r="D30" i="3"/>
  <c r="D28" i="3"/>
  <c r="D26" i="3"/>
  <c r="D24" i="3"/>
  <c r="D22" i="3"/>
  <c r="D16" i="3"/>
  <c r="D14" i="3"/>
  <c r="D12" i="3"/>
  <c r="D10" i="3"/>
  <c r="D6" i="3"/>
  <c r="B12" i="3"/>
  <c r="A3" i="8"/>
  <c r="C3" i="8" s="1"/>
  <c r="B3" i="8"/>
  <c r="D3" i="8"/>
  <c r="A4" i="8"/>
  <c r="B4" i="8" s="1"/>
  <c r="C4" i="8"/>
  <c r="D4" i="8"/>
  <c r="A5" i="8"/>
  <c r="B5" i="8" s="1"/>
  <c r="D5" i="8"/>
  <c r="A6" i="8"/>
  <c r="B6" i="8"/>
  <c r="C6" i="8"/>
  <c r="D6" i="8"/>
  <c r="A7" i="8"/>
  <c r="B7" i="8"/>
  <c r="C7" i="8"/>
  <c r="D7" i="8"/>
  <c r="A8" i="8"/>
  <c r="B8" i="8"/>
  <c r="C8" i="8"/>
  <c r="D8" i="8"/>
  <c r="A9" i="8"/>
  <c r="B9" i="8"/>
  <c r="C9" i="8"/>
  <c r="D9" i="8"/>
  <c r="A10" i="8"/>
  <c r="D10" i="8" s="1"/>
  <c r="B10" i="8"/>
  <c r="C10" i="8"/>
  <c r="A11" i="8"/>
  <c r="B11" i="8" s="1"/>
  <c r="A12" i="8"/>
  <c r="B12" i="8" s="1"/>
  <c r="D12" i="8"/>
  <c r="A13" i="8"/>
  <c r="B13" i="8"/>
  <c r="C13" i="8"/>
  <c r="D13" i="8"/>
  <c r="A14" i="8"/>
  <c r="B14" i="8"/>
  <c r="C14" i="8"/>
  <c r="D14" i="8"/>
  <c r="A15" i="8"/>
  <c r="B15" i="8"/>
  <c r="C15" i="8"/>
  <c r="D15" i="8"/>
  <c r="A16" i="8"/>
  <c r="B16" i="8"/>
  <c r="C16" i="8"/>
  <c r="D16" i="8"/>
  <c r="A17" i="8"/>
  <c r="B17" i="8"/>
  <c r="C17" i="8"/>
  <c r="D17" i="8"/>
  <c r="A18" i="8"/>
  <c r="B18" i="8" s="1"/>
  <c r="C18" i="8"/>
  <c r="A19" i="8"/>
  <c r="B19" i="8" s="1"/>
  <c r="A20" i="8"/>
  <c r="B20" i="8"/>
  <c r="C20" i="8"/>
  <c r="D20" i="8"/>
  <c r="A21" i="8"/>
  <c r="B21" i="8"/>
  <c r="C21" i="8"/>
  <c r="D21" i="8"/>
  <c r="A22" i="8"/>
  <c r="B22" i="8"/>
  <c r="C22" i="8"/>
  <c r="D22" i="8"/>
  <c r="A23" i="8"/>
  <c r="B23" i="8" s="1"/>
  <c r="D23" i="8"/>
  <c r="A24" i="8"/>
  <c r="B24" i="8"/>
  <c r="C24" i="8"/>
  <c r="D24" i="8"/>
  <c r="A25" i="8"/>
  <c r="B25" i="8"/>
  <c r="C25" i="8"/>
  <c r="D25" i="8"/>
  <c r="A26" i="8"/>
  <c r="B26" i="8" s="1"/>
  <c r="C26" i="8"/>
  <c r="D26" i="8"/>
  <c r="A27" i="8"/>
  <c r="B27" i="8" s="1"/>
  <c r="D27" i="8"/>
  <c r="A28" i="8"/>
  <c r="B28" i="8"/>
  <c r="C28" i="8"/>
  <c r="D28" i="8"/>
  <c r="A29" i="8"/>
  <c r="B29" i="8"/>
  <c r="C29" i="8"/>
  <c r="D29" i="8"/>
  <c r="A30" i="8"/>
  <c r="B30" i="8"/>
  <c r="C30" i="8"/>
  <c r="D30" i="8"/>
  <c r="A31" i="8"/>
  <c r="B31" i="8"/>
  <c r="C31" i="8"/>
  <c r="D31" i="8"/>
  <c r="A32" i="8"/>
  <c r="B32" i="8"/>
  <c r="C32" i="8"/>
  <c r="D32" i="8"/>
  <c r="A33" i="8"/>
  <c r="B33" i="8" s="1"/>
  <c r="C33" i="8"/>
  <c r="D33" i="8"/>
  <c r="A34" i="8"/>
  <c r="B34" i="8" s="1"/>
  <c r="D34" i="8"/>
  <c r="A35" i="8"/>
  <c r="B35" i="8" s="1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A40" i="8"/>
  <c r="B40" i="8" s="1"/>
  <c r="C40" i="8"/>
  <c r="D40" i="8"/>
  <c r="A41" i="8"/>
  <c r="B41" i="8" s="1"/>
  <c r="D41" i="8"/>
  <c r="A42" i="8"/>
  <c r="B42" i="8"/>
  <c r="C42" i="8"/>
  <c r="D42" i="8"/>
  <c r="A43" i="8"/>
  <c r="C43" i="8" s="1"/>
  <c r="B43" i="8"/>
  <c r="D43" i="8"/>
  <c r="A44" i="8"/>
  <c r="B44" i="8"/>
  <c r="C44" i="8"/>
  <c r="D44" i="8"/>
  <c r="A45" i="8"/>
  <c r="B45" i="8"/>
  <c r="C45" i="8"/>
  <c r="D45" i="8"/>
  <c r="A46" i="8"/>
  <c r="B46" i="8"/>
  <c r="C46" i="8"/>
  <c r="D46" i="8"/>
  <c r="A47" i="8"/>
  <c r="B47" i="8" s="1"/>
  <c r="C47" i="8"/>
  <c r="D47" i="8"/>
  <c r="A48" i="8"/>
  <c r="B48" i="8" s="1"/>
  <c r="D48" i="8"/>
  <c r="A49" i="8"/>
  <c r="B49" i="8"/>
  <c r="C49" i="8"/>
  <c r="D49" i="8"/>
  <c r="A50" i="8"/>
  <c r="D50" i="8" s="1"/>
  <c r="B50" i="8"/>
  <c r="C50" i="8"/>
  <c r="A51" i="8"/>
  <c r="B51" i="8" s="1"/>
  <c r="C51" i="8"/>
  <c r="D51" i="8"/>
  <c r="A52" i="8"/>
  <c r="B52" i="8"/>
  <c r="C52" i="8"/>
  <c r="D52" i="8"/>
  <c r="A53" i="8"/>
  <c r="B53" i="8"/>
  <c r="C53" i="8"/>
  <c r="D53" i="8"/>
  <c r="A54" i="8"/>
  <c r="B54" i="8" s="1"/>
  <c r="C54" i="8"/>
  <c r="D54" i="8"/>
  <c r="A55" i="8"/>
  <c r="B55" i="8" s="1"/>
  <c r="D55" i="8"/>
  <c r="A56" i="8"/>
  <c r="B56" i="8"/>
  <c r="C56" i="8"/>
  <c r="D56" i="8"/>
  <c r="A57" i="8"/>
  <c r="B57" i="8"/>
  <c r="C57" i="8"/>
  <c r="D57" i="8"/>
  <c r="A58" i="8"/>
  <c r="C58" i="8" s="1"/>
  <c r="B58" i="8"/>
  <c r="A59" i="8"/>
  <c r="B59" i="8"/>
  <c r="C59" i="8"/>
  <c r="D59" i="8"/>
  <c r="A60" i="8"/>
  <c r="B60" i="8"/>
  <c r="C60" i="8"/>
  <c r="D60" i="8"/>
  <c r="A61" i="8"/>
  <c r="B61" i="8" s="1"/>
  <c r="C61" i="8"/>
  <c r="D61" i="8"/>
  <c r="A62" i="8"/>
  <c r="B62" i="8" s="1"/>
  <c r="C62" i="8"/>
  <c r="D62" i="8"/>
  <c r="A63" i="8"/>
  <c r="B63" i="8"/>
  <c r="C63" i="8"/>
  <c r="D63" i="8"/>
  <c r="A64" i="8"/>
  <c r="B64" i="8"/>
  <c r="C64" i="8"/>
  <c r="D64" i="8"/>
  <c r="A65" i="8"/>
  <c r="B65" i="8"/>
  <c r="C65" i="8"/>
  <c r="D65" i="8"/>
  <c r="A66" i="8"/>
  <c r="C66" i="8" s="1"/>
  <c r="B66" i="8"/>
  <c r="D66" i="8"/>
  <c r="A67" i="8"/>
  <c r="B67" i="8"/>
  <c r="C67" i="8"/>
  <c r="D67" i="8"/>
  <c r="A68" i="8"/>
  <c r="B68" i="8" s="1"/>
  <c r="C68" i="8"/>
  <c r="D68" i="8"/>
  <c r="A69" i="8"/>
  <c r="B69" i="8" s="1"/>
  <c r="C69" i="8"/>
  <c r="D69" i="8"/>
  <c r="A70" i="8"/>
  <c r="B70" i="8"/>
  <c r="C70" i="8"/>
  <c r="D70" i="8"/>
  <c r="A71" i="8"/>
  <c r="B71" i="8"/>
  <c r="C71" i="8"/>
  <c r="D71" i="8"/>
  <c r="A72" i="8"/>
  <c r="B72" i="8"/>
  <c r="C72" i="8"/>
  <c r="D72" i="8"/>
  <c r="A73" i="8"/>
  <c r="C73" i="8" s="1"/>
  <c r="B73" i="8"/>
  <c r="A74" i="8"/>
  <c r="B74" i="8"/>
  <c r="C74" i="8"/>
  <c r="D74" i="8"/>
  <c r="A75" i="8"/>
  <c r="B75" i="8" s="1"/>
  <c r="C75" i="8"/>
  <c r="D75" i="8"/>
  <c r="A76" i="8"/>
  <c r="B76" i="8" s="1"/>
  <c r="C76" i="8"/>
  <c r="D76" i="8"/>
  <c r="A77" i="8"/>
  <c r="B77" i="8"/>
  <c r="C77" i="8"/>
  <c r="D77" i="8"/>
  <c r="A78" i="8"/>
  <c r="B78" i="8"/>
  <c r="C78" i="8"/>
  <c r="D78" i="8"/>
  <c r="A79" i="8"/>
  <c r="B79" i="8"/>
  <c r="C79" i="8"/>
  <c r="D79" i="8"/>
  <c r="A80" i="8"/>
  <c r="B80" i="8"/>
  <c r="C80" i="8"/>
  <c r="D80" i="8"/>
  <c r="A81" i="8"/>
  <c r="B81" i="8"/>
  <c r="C81" i="8"/>
  <c r="D81" i="8"/>
  <c r="A82" i="8"/>
  <c r="B82" i="8" s="1"/>
  <c r="C82" i="8"/>
  <c r="D82" i="8"/>
  <c r="A83" i="8"/>
  <c r="B83" i="8" s="1"/>
  <c r="C83" i="8"/>
  <c r="D83" i="8"/>
  <c r="A84" i="8"/>
  <c r="B84" i="8"/>
  <c r="C84" i="8"/>
  <c r="D84" i="8"/>
  <c r="A85" i="8"/>
  <c r="B85" i="8"/>
  <c r="C85" i="8"/>
  <c r="D85" i="8"/>
  <c r="A86" i="8"/>
  <c r="B86" i="8"/>
  <c r="C86" i="8"/>
  <c r="D86" i="8"/>
  <c r="A87" i="8"/>
  <c r="B87" i="8"/>
  <c r="C87" i="8"/>
  <c r="D87" i="8"/>
  <c r="A88" i="8"/>
  <c r="C88" i="8" s="1"/>
  <c r="B88" i="8"/>
  <c r="A89" i="8"/>
  <c r="B89" i="8" s="1"/>
  <c r="C89" i="8"/>
  <c r="D89" i="8"/>
  <c r="A90" i="8"/>
  <c r="B90" i="8" s="1"/>
  <c r="C90" i="8"/>
  <c r="D90" i="8"/>
  <c r="A91" i="8"/>
  <c r="B91" i="8"/>
  <c r="C91" i="8"/>
  <c r="D91" i="8"/>
  <c r="A92" i="8"/>
  <c r="B92" i="8"/>
  <c r="C92" i="8"/>
  <c r="D92" i="8"/>
  <c r="A93" i="8"/>
  <c r="B93" i="8"/>
  <c r="C93" i="8"/>
  <c r="D93" i="8"/>
  <c r="A94" i="8"/>
  <c r="B94" i="8"/>
  <c r="C94" i="8"/>
  <c r="D94" i="8"/>
  <c r="A95" i="8"/>
  <c r="B95" i="8"/>
  <c r="C95" i="8"/>
  <c r="D95" i="8"/>
  <c r="A96" i="8"/>
  <c r="B96" i="8" s="1"/>
  <c r="C96" i="8"/>
  <c r="D96" i="8"/>
  <c r="A97" i="8"/>
  <c r="B97" i="8" s="1"/>
  <c r="C97" i="8"/>
  <c r="D97" i="8"/>
  <c r="A98" i="8"/>
  <c r="B98" i="8"/>
  <c r="C98" i="8"/>
  <c r="D98" i="8"/>
  <c r="A99" i="8"/>
  <c r="B99" i="8"/>
  <c r="C99" i="8"/>
  <c r="D99" i="8"/>
  <c r="A100" i="8"/>
  <c r="B100" i="8"/>
  <c r="C100" i="8"/>
  <c r="D100" i="8"/>
  <c r="A101" i="8"/>
  <c r="B101" i="8"/>
  <c r="C101" i="8"/>
  <c r="D101" i="8"/>
  <c r="A102" i="8"/>
  <c r="B102" i="8"/>
  <c r="C102" i="8"/>
  <c r="D102" i="8"/>
  <c r="A103" i="8"/>
  <c r="B103" i="8" s="1"/>
  <c r="C103" i="8"/>
  <c r="A104" i="8"/>
  <c r="B104" i="8" s="1"/>
  <c r="D104" i="8"/>
  <c r="A105" i="8"/>
  <c r="B105" i="8"/>
  <c r="C105" i="8"/>
  <c r="D105" i="8"/>
  <c r="A106" i="8"/>
  <c r="B106" i="8"/>
  <c r="C106" i="8"/>
  <c r="D106" i="8"/>
  <c r="A107" i="8"/>
  <c r="B107" i="8"/>
  <c r="C107" i="8"/>
  <c r="D107" i="8"/>
  <c r="A108" i="8"/>
  <c r="B108" i="8"/>
  <c r="C108" i="8"/>
  <c r="D108" i="8"/>
  <c r="A109" i="8"/>
  <c r="B109" i="8"/>
  <c r="C109" i="8"/>
  <c r="D109" i="8"/>
  <c r="A110" i="8"/>
  <c r="B110" i="8" s="1"/>
  <c r="C110" i="8"/>
  <c r="D110" i="8"/>
  <c r="A111" i="8"/>
  <c r="B111" i="8" s="1"/>
  <c r="A112" i="8"/>
  <c r="B112" i="8"/>
  <c r="C112" i="8"/>
  <c r="D112" i="8"/>
  <c r="A113" i="8"/>
  <c r="B113" i="8"/>
  <c r="C113" i="8"/>
  <c r="D113" i="8"/>
  <c r="A114" i="8"/>
  <c r="B114" i="8"/>
  <c r="C114" i="8"/>
  <c r="D114" i="8"/>
  <c r="A115" i="8"/>
  <c r="B115" i="8"/>
  <c r="C115" i="8"/>
  <c r="D115" i="8"/>
  <c r="A116" i="8"/>
  <c r="B116" i="8"/>
  <c r="C116" i="8"/>
  <c r="D116" i="8"/>
  <c r="A117" i="8"/>
  <c r="B117" i="8" s="1"/>
  <c r="C117" i="8"/>
  <c r="D117" i="8"/>
  <c r="A118" i="8"/>
  <c r="B118" i="8" s="1"/>
  <c r="C118" i="8"/>
  <c r="D118" i="8"/>
  <c r="A119" i="8"/>
  <c r="B119" i="8"/>
  <c r="C119" i="8"/>
  <c r="D119" i="8"/>
  <c r="A120" i="8"/>
  <c r="B120" i="8"/>
  <c r="C120" i="8"/>
  <c r="D120" i="8"/>
  <c r="A121" i="8"/>
  <c r="B121" i="8"/>
  <c r="C121" i="8"/>
  <c r="D121" i="8"/>
  <c r="A122" i="8"/>
  <c r="B122" i="8"/>
  <c r="C122" i="8"/>
  <c r="D122" i="8"/>
  <c r="A123" i="8"/>
  <c r="B123" i="8"/>
  <c r="C123" i="8"/>
  <c r="D123" i="8"/>
  <c r="A124" i="8"/>
  <c r="B124" i="8" s="1"/>
  <c r="C124" i="8"/>
  <c r="D124" i="8"/>
  <c r="A125" i="8"/>
  <c r="B125" i="8" s="1"/>
  <c r="C125" i="8"/>
  <c r="D125" i="8"/>
  <c r="A126" i="8"/>
  <c r="C126" i="8" s="1"/>
  <c r="B126" i="8"/>
  <c r="A127" i="8"/>
  <c r="B127" i="8"/>
  <c r="C127" i="8"/>
  <c r="D127" i="8"/>
  <c r="A128" i="8"/>
  <c r="B128" i="8"/>
  <c r="C128" i="8"/>
  <c r="D128" i="8"/>
  <c r="A129" i="8"/>
  <c r="B129" i="8"/>
  <c r="C129" i="8"/>
  <c r="D129" i="8"/>
  <c r="A130" i="8"/>
  <c r="B130" i="8"/>
  <c r="C130" i="8"/>
  <c r="D130" i="8"/>
  <c r="A131" i="8"/>
  <c r="B131" i="8" s="1"/>
  <c r="C131" i="8"/>
  <c r="D131" i="8"/>
  <c r="A132" i="8"/>
  <c r="B132" i="8" s="1"/>
  <c r="C132" i="8"/>
  <c r="D132" i="8"/>
  <c r="A133" i="8"/>
  <c r="B133" i="8"/>
  <c r="C133" i="8"/>
  <c r="D133" i="8"/>
  <c r="A134" i="8"/>
  <c r="B134" i="8"/>
  <c r="C134" i="8"/>
  <c r="D134" i="8"/>
  <c r="A135" i="8"/>
  <c r="B135" i="8"/>
  <c r="C135" i="8"/>
  <c r="D135" i="8"/>
  <c r="A136" i="8"/>
  <c r="B136" i="8"/>
  <c r="C136" i="8"/>
  <c r="D136" i="8"/>
  <c r="A137" i="8"/>
  <c r="B137" i="8"/>
  <c r="C137" i="8"/>
  <c r="D137" i="8"/>
  <c r="A138" i="8"/>
  <c r="B138" i="8" s="1"/>
  <c r="C138" i="8"/>
  <c r="D138" i="8"/>
  <c r="A139" i="8"/>
  <c r="B139" i="8" s="1"/>
  <c r="C139" i="8"/>
  <c r="D139" i="8"/>
  <c r="A140" i="8"/>
  <c r="B140" i="8"/>
  <c r="C140" i="8"/>
  <c r="D140" i="8"/>
  <c r="A141" i="8"/>
  <c r="C141" i="8" s="1"/>
  <c r="B141" i="8"/>
  <c r="A142" i="8"/>
  <c r="B142" i="8"/>
  <c r="C142" i="8"/>
  <c r="D142" i="8"/>
  <c r="A143" i="8"/>
  <c r="B143" i="8"/>
  <c r="C143" i="8"/>
  <c r="D143" i="8"/>
  <c r="A144" i="8"/>
  <c r="B144" i="8"/>
  <c r="C144" i="8"/>
  <c r="D144" i="8"/>
  <c r="A145" i="8"/>
  <c r="B145" i="8" s="1"/>
  <c r="C145" i="8"/>
  <c r="D145" i="8"/>
  <c r="A146" i="8"/>
  <c r="B146" i="8" s="1"/>
  <c r="C146" i="8"/>
  <c r="D146" i="8"/>
  <c r="A147" i="8"/>
  <c r="B147" i="8"/>
  <c r="C147" i="8"/>
  <c r="D147" i="8"/>
  <c r="A148" i="8"/>
  <c r="B148" i="8"/>
  <c r="C148" i="8"/>
  <c r="D148" i="8"/>
  <c r="A149" i="8"/>
  <c r="B149" i="8"/>
  <c r="C149" i="8"/>
  <c r="D149" i="8"/>
  <c r="A150" i="8"/>
  <c r="B150" i="8"/>
  <c r="C150" i="8"/>
  <c r="D150" i="8"/>
  <c r="A151" i="8"/>
  <c r="B151" i="8"/>
  <c r="C151" i="8"/>
  <c r="D151" i="8"/>
  <c r="A152" i="8"/>
  <c r="B152" i="8" s="1"/>
  <c r="C152" i="8"/>
  <c r="D152" i="8"/>
  <c r="A153" i="8"/>
  <c r="B153" i="8" s="1"/>
  <c r="C153" i="8"/>
  <c r="D153" i="8"/>
  <c r="A154" i="8"/>
  <c r="B154" i="8"/>
  <c r="C154" i="8"/>
  <c r="D154" i="8"/>
  <c r="A155" i="8"/>
  <c r="B155" i="8"/>
  <c r="C155" i="8"/>
  <c r="D155" i="8"/>
  <c r="A156" i="8"/>
  <c r="C156" i="8" s="1"/>
  <c r="B156" i="8"/>
  <c r="A157" i="8"/>
  <c r="B157" i="8"/>
  <c r="C157" i="8"/>
  <c r="D157" i="8"/>
  <c r="A158" i="8"/>
  <c r="B158" i="8"/>
  <c r="C158" i="8"/>
  <c r="D158" i="8"/>
  <c r="A159" i="8"/>
  <c r="B159" i="8" s="1"/>
  <c r="C159" i="8"/>
  <c r="D159" i="8"/>
  <c r="A160" i="8"/>
  <c r="B160" i="8" s="1"/>
  <c r="C160" i="8"/>
  <c r="D160" i="8"/>
  <c r="B10" i="6" l="1"/>
  <c r="C10" i="6"/>
  <c r="D10" i="6"/>
  <c r="B12" i="6"/>
  <c r="C12" i="6"/>
  <c r="B13" i="6"/>
  <c r="C13" i="6"/>
  <c r="D13" i="6"/>
  <c r="C14" i="6"/>
  <c r="D14" i="6"/>
  <c r="B14" i="6"/>
  <c r="B17" i="6"/>
  <c r="C17" i="6"/>
  <c r="D17" i="6"/>
  <c r="B18" i="6"/>
  <c r="C18" i="6"/>
  <c r="D18" i="6"/>
  <c r="B19" i="6"/>
  <c r="C19" i="6"/>
  <c r="D19" i="6"/>
  <c r="D21" i="6"/>
  <c r="B21" i="6"/>
  <c r="C21" i="6"/>
  <c r="D22" i="6"/>
  <c r="C22" i="6"/>
  <c r="B22" i="6"/>
  <c r="B23" i="6"/>
  <c r="D23" i="6"/>
  <c r="C23" i="6"/>
  <c r="B24" i="6"/>
  <c r="C24" i="6"/>
  <c r="D24" i="6"/>
  <c r="B25" i="6"/>
  <c r="C25" i="6"/>
  <c r="D25" i="6"/>
  <c r="C26" i="6"/>
  <c r="B26" i="6"/>
  <c r="D26" i="6"/>
  <c r="B27" i="6"/>
  <c r="C27" i="6"/>
  <c r="D27" i="6"/>
  <c r="C28" i="6"/>
  <c r="B28" i="6"/>
  <c r="C29" i="6"/>
  <c r="B29" i="6"/>
  <c r="C30" i="6"/>
  <c r="D30" i="6"/>
  <c r="B30" i="6"/>
  <c r="B32" i="6"/>
  <c r="C32" i="6"/>
  <c r="D32" i="6"/>
  <c r="D33" i="6"/>
  <c r="B33" i="6"/>
  <c r="C33" i="6"/>
  <c r="B34" i="6"/>
  <c r="C34" i="6"/>
  <c r="D34" i="6"/>
  <c r="C35" i="6"/>
  <c r="D35" i="6"/>
  <c r="B35" i="6"/>
  <c r="B36" i="6"/>
  <c r="C36" i="6"/>
  <c r="B37" i="6"/>
  <c r="C37" i="6"/>
  <c r="C38" i="6"/>
  <c r="D38" i="6"/>
  <c r="B38" i="6"/>
  <c r="D39" i="6"/>
  <c r="C39" i="6"/>
  <c r="B39" i="6"/>
  <c r="C41" i="6"/>
  <c r="B41" i="6"/>
  <c r="C44" i="6"/>
  <c r="B44" i="6"/>
  <c r="D44" i="6"/>
  <c r="B45" i="6"/>
  <c r="C45" i="6"/>
  <c r="C46" i="6"/>
  <c r="B46" i="6"/>
  <c r="D47" i="6"/>
  <c r="B47" i="6"/>
  <c r="C47" i="6"/>
  <c r="D50" i="6"/>
  <c r="B50" i="6"/>
  <c r="C53" i="6"/>
  <c r="B53" i="6"/>
  <c r="D53" i="6"/>
  <c r="C56" i="6"/>
  <c r="D56" i="6"/>
  <c r="B56" i="6"/>
  <c r="B57" i="6"/>
  <c r="D57" i="6"/>
  <c r="C58" i="6"/>
  <c r="B58" i="6"/>
  <c r="D52" i="5"/>
  <c r="O51" i="5"/>
  <c r="O47" i="5"/>
  <c r="D48" i="5"/>
  <c r="H52" i="5"/>
  <c r="S52" i="5" s="1"/>
  <c r="H50" i="5"/>
  <c r="S50" i="5" s="1"/>
  <c r="N49" i="5"/>
  <c r="H48" i="5"/>
  <c r="S48" i="5" s="1"/>
  <c r="H46" i="5"/>
  <c r="S46" i="5" s="1"/>
  <c r="N45" i="5"/>
  <c r="O43" i="5"/>
  <c r="D44" i="5"/>
  <c r="N41" i="5"/>
  <c r="H44" i="5"/>
  <c r="S44" i="5" s="1"/>
  <c r="H42" i="5"/>
  <c r="S42" i="5" s="1"/>
  <c r="D40" i="5"/>
  <c r="O39" i="5"/>
  <c r="N37" i="5"/>
  <c r="H38" i="5"/>
  <c r="S38" i="5" s="1"/>
  <c r="H40" i="5"/>
  <c r="S40" i="5" s="1"/>
  <c r="O35" i="5"/>
  <c r="D36" i="5"/>
  <c r="H36" i="5"/>
  <c r="S36" i="5" s="1"/>
  <c r="H34" i="5"/>
  <c r="S34" i="5" s="1"/>
  <c r="N33" i="5"/>
  <c r="D32" i="5"/>
  <c r="O31" i="5"/>
  <c r="H32" i="5"/>
  <c r="S32" i="5" s="1"/>
  <c r="H30" i="5"/>
  <c r="S30" i="5" s="1"/>
  <c r="N29" i="5"/>
  <c r="D28" i="5"/>
  <c r="O27" i="5"/>
  <c r="N25" i="5"/>
  <c r="H26" i="5"/>
  <c r="S26" i="5" s="1"/>
  <c r="H28" i="5"/>
  <c r="S28" i="5" s="1"/>
  <c r="D24" i="5"/>
  <c r="O23" i="5"/>
  <c r="D20" i="5"/>
  <c r="O19" i="5"/>
  <c r="D11" i="8"/>
  <c r="C104" i="8"/>
  <c r="D35" i="8"/>
  <c r="D19" i="8"/>
  <c r="C11" i="8"/>
  <c r="D156" i="8"/>
  <c r="D141" i="8"/>
  <c r="D126" i="8"/>
  <c r="D111" i="8"/>
  <c r="D88" i="8"/>
  <c r="D73" i="8"/>
  <c r="D58" i="8"/>
  <c r="C35" i="8"/>
  <c r="C111" i="8"/>
  <c r="D103" i="8"/>
  <c r="D18" i="8"/>
  <c r="C55" i="8"/>
  <c r="C48" i="8"/>
  <c r="C41" i="8"/>
  <c r="C34" i="8"/>
  <c r="C27" i="8"/>
  <c r="C23" i="8"/>
  <c r="C19" i="8"/>
  <c r="C12" i="8"/>
  <c r="C5" i="8"/>
  <c r="D29" i="14"/>
  <c r="T7" i="3" l="1"/>
  <c r="T9" i="3"/>
  <c r="T11" i="3"/>
  <c r="T13" i="3"/>
  <c r="T15" i="3"/>
  <c r="T17" i="3"/>
  <c r="T19" i="3"/>
  <c r="T21" i="3"/>
  <c r="T23" i="3"/>
  <c r="T25" i="3"/>
  <c r="T27" i="3"/>
  <c r="T29" i="3"/>
  <c r="T31" i="3"/>
  <c r="T33" i="3"/>
  <c r="T35" i="3"/>
  <c r="T37" i="3"/>
  <c r="T39" i="3"/>
  <c r="T41" i="3"/>
  <c r="T43" i="3"/>
  <c r="T45" i="3"/>
  <c r="T47" i="3"/>
  <c r="T5" i="3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11" i="15"/>
  <c r="B12" i="15"/>
  <c r="B13" i="15"/>
  <c r="B14" i="15"/>
  <c r="B15" i="15"/>
  <c r="F44" i="3"/>
  <c r="F42" i="3"/>
  <c r="F40" i="3"/>
  <c r="F38" i="3"/>
  <c r="F36" i="3"/>
  <c r="F34" i="3"/>
  <c r="F32" i="3"/>
  <c r="F30" i="3"/>
  <c r="F28" i="3"/>
  <c r="F26" i="3"/>
  <c r="F24" i="3"/>
  <c r="F22" i="3"/>
  <c r="F20" i="3"/>
  <c r="F18" i="3"/>
  <c r="F16" i="3"/>
  <c r="F14" i="3"/>
  <c r="F12" i="3"/>
  <c r="F10" i="3"/>
  <c r="F8" i="3"/>
  <c r="F6" i="3"/>
  <c r="T48" i="3"/>
  <c r="T46" i="3"/>
  <c r="D44" i="3"/>
  <c r="C44" i="3"/>
  <c r="T44" i="3" s="1"/>
  <c r="B44" i="3"/>
  <c r="A44" i="3"/>
  <c r="D42" i="3"/>
  <c r="C42" i="3"/>
  <c r="T42" i="3" s="1"/>
  <c r="B42" i="3"/>
  <c r="A42" i="3"/>
  <c r="C40" i="3"/>
  <c r="T40" i="3" s="1"/>
  <c r="B40" i="3"/>
  <c r="A40" i="3"/>
  <c r="C38" i="3"/>
  <c r="T38" i="3" s="1"/>
  <c r="B38" i="3"/>
  <c r="A38" i="3"/>
  <c r="C36" i="3"/>
  <c r="T36" i="3" s="1"/>
  <c r="B36" i="3"/>
  <c r="A36" i="3"/>
  <c r="C34" i="3"/>
  <c r="T34" i="3" s="1"/>
  <c r="B34" i="3"/>
  <c r="A34" i="3"/>
  <c r="C32" i="3"/>
  <c r="T32" i="3" s="1"/>
  <c r="B32" i="3"/>
  <c r="A32" i="3"/>
  <c r="C30" i="3"/>
  <c r="T30" i="3" s="1"/>
  <c r="B30" i="3"/>
  <c r="A30" i="3"/>
  <c r="C28" i="3"/>
  <c r="T28" i="3" s="1"/>
  <c r="B28" i="3"/>
  <c r="A28" i="3"/>
  <c r="C26" i="3"/>
  <c r="T26" i="3" s="1"/>
  <c r="B26" i="3"/>
  <c r="A26" i="3"/>
  <c r="C24" i="3"/>
  <c r="T24" i="3" s="1"/>
  <c r="B24" i="3"/>
  <c r="A24" i="3"/>
  <c r="C22" i="3"/>
  <c r="T22" i="3" s="1"/>
  <c r="B22" i="3"/>
  <c r="A22" i="3"/>
  <c r="D20" i="3"/>
  <c r="C20" i="3"/>
  <c r="T20" i="3" s="1"/>
  <c r="B20" i="3"/>
  <c r="A20" i="3"/>
  <c r="D18" i="3"/>
  <c r="C18" i="3"/>
  <c r="T18" i="3" s="1"/>
  <c r="B18" i="3"/>
  <c r="A18" i="3"/>
  <c r="C16" i="3"/>
  <c r="T16" i="3" s="1"/>
  <c r="B16" i="3"/>
  <c r="A16" i="3"/>
  <c r="C14" i="3"/>
  <c r="T14" i="3" s="1"/>
  <c r="B14" i="3"/>
  <c r="A14" i="3"/>
  <c r="C12" i="3"/>
  <c r="T12" i="3" s="1"/>
  <c r="A12" i="3"/>
  <c r="B24" i="10" l="1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D13" i="14"/>
  <c r="D15" i="14"/>
  <c r="D17" i="14"/>
  <c r="D19" i="14"/>
  <c r="C10" i="3"/>
  <c r="T10" i="3" s="1"/>
  <c r="B10" i="3"/>
  <c r="A10" i="3"/>
  <c r="D8" i="3"/>
  <c r="C8" i="3"/>
  <c r="T8" i="3" s="1"/>
  <c r="B8" i="3"/>
  <c r="A8" i="3"/>
  <c r="C6" i="3"/>
  <c r="T6" i="3" s="1"/>
  <c r="B6" i="3"/>
  <c r="A6" i="3"/>
  <c r="W92" i="5" l="1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O59" i="5"/>
  <c r="F60" i="5"/>
  <c r="Q60" i="5" s="1"/>
  <c r="F59" i="5"/>
  <c r="Q59" i="5" s="1"/>
  <c r="F58" i="5"/>
  <c r="W60" i="5"/>
  <c r="G60" i="5"/>
  <c r="R60" i="5" s="1"/>
  <c r="W59" i="5"/>
  <c r="P59" i="5"/>
  <c r="S59" i="5"/>
  <c r="G59" i="5"/>
  <c r="R59" i="5" s="1"/>
  <c r="S60" i="5"/>
  <c r="D60" i="5" l="1"/>
  <c r="W58" i="5" l="1"/>
  <c r="S58" i="5"/>
  <c r="G58" i="5"/>
  <c r="R58" i="5" s="1"/>
  <c r="Q58" i="5"/>
  <c r="W57" i="5"/>
  <c r="P57" i="5"/>
  <c r="S57" i="5"/>
  <c r="G57" i="5"/>
  <c r="R57" i="5" s="1"/>
  <c r="F57" i="5"/>
  <c r="Q57" i="5" s="1"/>
  <c r="O57" i="5"/>
  <c r="W56" i="5"/>
  <c r="H56" i="5"/>
  <c r="S56" i="5" s="1"/>
  <c r="G56" i="5"/>
  <c r="R56" i="5" s="1"/>
  <c r="F56" i="5"/>
  <c r="Q56" i="5" s="1"/>
  <c r="W55" i="5"/>
  <c r="P55" i="5"/>
  <c r="O55" i="5"/>
  <c r="N55" i="5"/>
  <c r="M55" i="5"/>
  <c r="H55" i="5"/>
  <c r="S55" i="5" s="1"/>
  <c r="G55" i="5"/>
  <c r="R55" i="5" s="1"/>
  <c r="F55" i="5"/>
  <c r="Q55" i="5" s="1"/>
  <c r="W54" i="5"/>
  <c r="S54" i="5"/>
  <c r="G54" i="5"/>
  <c r="R54" i="5" s="1"/>
  <c r="F54" i="5"/>
  <c r="Q54" i="5" s="1"/>
  <c r="W53" i="5"/>
  <c r="P53" i="5"/>
  <c r="O53" i="5"/>
  <c r="N53" i="5"/>
  <c r="M53" i="5"/>
  <c r="L53" i="5"/>
  <c r="S53" i="5"/>
  <c r="G53" i="5"/>
  <c r="R53" i="5" s="1"/>
  <c r="F53" i="5"/>
  <c r="Q53" i="5" s="1"/>
  <c r="G25" i="3"/>
  <c r="H25" i="3" s="1"/>
  <c r="P25" i="3" s="1"/>
  <c r="K25" i="3"/>
  <c r="L25" i="3"/>
  <c r="M25" i="3"/>
  <c r="N25" i="3"/>
  <c r="O25" i="3"/>
  <c r="Q25" i="3"/>
  <c r="K26" i="3"/>
  <c r="L26" i="3"/>
  <c r="M26" i="3"/>
  <c r="N26" i="3"/>
  <c r="O26" i="3"/>
  <c r="Q26" i="3"/>
  <c r="G27" i="3"/>
  <c r="H27" i="3" s="1"/>
  <c r="P27" i="3" s="1"/>
  <c r="K27" i="3"/>
  <c r="L27" i="3"/>
  <c r="M27" i="3"/>
  <c r="N27" i="3"/>
  <c r="O27" i="3"/>
  <c r="Q27" i="3"/>
  <c r="K28" i="3"/>
  <c r="L28" i="3"/>
  <c r="M28" i="3"/>
  <c r="N28" i="3"/>
  <c r="O28" i="3"/>
  <c r="Q28" i="3"/>
  <c r="G29" i="3"/>
  <c r="H29" i="3" s="1"/>
  <c r="P29" i="3" s="1"/>
  <c r="K29" i="3"/>
  <c r="L29" i="3"/>
  <c r="M29" i="3"/>
  <c r="N29" i="3"/>
  <c r="O29" i="3"/>
  <c r="Q29" i="3"/>
  <c r="K30" i="3"/>
  <c r="L30" i="3"/>
  <c r="G30" i="3"/>
  <c r="N30" i="3"/>
  <c r="O30" i="3"/>
  <c r="Q30" i="3"/>
  <c r="G31" i="3"/>
  <c r="H31" i="3" s="1"/>
  <c r="P31" i="3" s="1"/>
  <c r="K31" i="3"/>
  <c r="L31" i="3"/>
  <c r="M31" i="3"/>
  <c r="N31" i="3"/>
  <c r="O31" i="3"/>
  <c r="Q31" i="3"/>
  <c r="K32" i="3"/>
  <c r="L32" i="3"/>
  <c r="G32" i="3"/>
  <c r="N32" i="3"/>
  <c r="O32" i="3"/>
  <c r="Q32" i="3"/>
  <c r="G33" i="3"/>
  <c r="H33" i="3" s="1"/>
  <c r="P33" i="3" s="1"/>
  <c r="K33" i="3"/>
  <c r="L33" i="3"/>
  <c r="M33" i="3"/>
  <c r="N33" i="3"/>
  <c r="O33" i="3"/>
  <c r="Q33" i="3"/>
  <c r="K34" i="3"/>
  <c r="L34" i="3"/>
  <c r="G34" i="3"/>
  <c r="N34" i="3"/>
  <c r="O34" i="3"/>
  <c r="Q34" i="3"/>
  <c r="G35" i="3"/>
  <c r="H35" i="3" s="1"/>
  <c r="P35" i="3" s="1"/>
  <c r="K35" i="3"/>
  <c r="L35" i="3"/>
  <c r="M35" i="3"/>
  <c r="N35" i="3"/>
  <c r="O35" i="3"/>
  <c r="Q35" i="3"/>
  <c r="K36" i="3"/>
  <c r="L36" i="3"/>
  <c r="G36" i="3"/>
  <c r="N36" i="3"/>
  <c r="O36" i="3"/>
  <c r="Q36" i="3"/>
  <c r="G37" i="3"/>
  <c r="H37" i="3" s="1"/>
  <c r="P37" i="3" s="1"/>
  <c r="K37" i="3"/>
  <c r="L37" i="3"/>
  <c r="M37" i="3"/>
  <c r="N37" i="3"/>
  <c r="O37" i="3"/>
  <c r="Q37" i="3"/>
  <c r="K38" i="3"/>
  <c r="L38" i="3"/>
  <c r="M38" i="3"/>
  <c r="N38" i="3"/>
  <c r="O38" i="3"/>
  <c r="Q38" i="3"/>
  <c r="G39" i="3"/>
  <c r="H39" i="3" s="1"/>
  <c r="P39" i="3" s="1"/>
  <c r="K39" i="3"/>
  <c r="L39" i="3"/>
  <c r="M39" i="3"/>
  <c r="N39" i="3"/>
  <c r="O39" i="3"/>
  <c r="Q39" i="3"/>
  <c r="K40" i="3"/>
  <c r="L40" i="3"/>
  <c r="G40" i="3"/>
  <c r="N40" i="3"/>
  <c r="O40" i="3"/>
  <c r="Q40" i="3"/>
  <c r="G41" i="3"/>
  <c r="H41" i="3" s="1"/>
  <c r="P41" i="3" s="1"/>
  <c r="K41" i="3"/>
  <c r="L41" i="3"/>
  <c r="M41" i="3"/>
  <c r="N41" i="3"/>
  <c r="O41" i="3"/>
  <c r="Q41" i="3"/>
  <c r="K42" i="3"/>
  <c r="L42" i="3"/>
  <c r="G42" i="3"/>
  <c r="H42" i="3" s="1"/>
  <c r="P42" i="3" s="1"/>
  <c r="N42" i="3"/>
  <c r="O42" i="3"/>
  <c r="Q42" i="3"/>
  <c r="G43" i="3"/>
  <c r="H43" i="3" s="1"/>
  <c r="P43" i="3" s="1"/>
  <c r="K43" i="3"/>
  <c r="L43" i="3"/>
  <c r="M43" i="3"/>
  <c r="N43" i="3"/>
  <c r="O43" i="3"/>
  <c r="Q43" i="3"/>
  <c r="K44" i="3"/>
  <c r="L44" i="3"/>
  <c r="G44" i="3"/>
  <c r="N44" i="3"/>
  <c r="O44" i="3"/>
  <c r="Q44" i="3"/>
  <c r="A18" i="22"/>
  <c r="B18" i="22" s="1"/>
  <c r="B16" i="21"/>
  <c r="C16" i="21" s="1"/>
  <c r="A16" i="22" s="1"/>
  <c r="B16" i="22" s="1"/>
  <c r="B11" i="21"/>
  <c r="B12" i="21"/>
  <c r="B13" i="21"/>
  <c r="C13" i="21" s="1"/>
  <c r="A13" i="22" s="1"/>
  <c r="B13" i="22" s="1"/>
  <c r="B14" i="21"/>
  <c r="C14" i="21" s="1"/>
  <c r="A14" i="22" s="1"/>
  <c r="B14" i="22" s="1"/>
  <c r="B15" i="21"/>
  <c r="C15" i="21" s="1"/>
  <c r="A15" i="22" s="1"/>
  <c r="B15" i="22" s="1"/>
  <c r="B17" i="21"/>
  <c r="B10" i="21"/>
  <c r="B2" i="21"/>
  <c r="B3" i="21"/>
  <c r="C3" i="21" s="1"/>
  <c r="A3" i="22" s="1"/>
  <c r="B3" i="22" s="1"/>
  <c r="B4" i="21"/>
  <c r="C4" i="21" s="1"/>
  <c r="A4" i="22" s="1"/>
  <c r="B4" i="22" s="1"/>
  <c r="B5" i="21"/>
  <c r="C5" i="21" s="1"/>
  <c r="A5" i="22" s="1"/>
  <c r="B5" i="22" s="1"/>
  <c r="B6" i="21"/>
  <c r="C6" i="21" s="1"/>
  <c r="A6" i="22" s="1"/>
  <c r="B6" i="22" s="1"/>
  <c r="B7" i="21"/>
  <c r="B8" i="21"/>
  <c r="B9" i="21"/>
  <c r="C8" i="21"/>
  <c r="A8" i="22" s="1"/>
  <c r="B8" i="22" s="1"/>
  <c r="C2" i="21"/>
  <c r="A2" i="22" s="1"/>
  <c r="B2" i="22" s="1"/>
  <c r="C17" i="21"/>
  <c r="A17" i="22" s="1"/>
  <c r="B17" i="22" s="1"/>
  <c r="C12" i="21"/>
  <c r="A12" i="22" s="1"/>
  <c r="B12" i="22" s="1"/>
  <c r="C11" i="21"/>
  <c r="A11" i="22" s="1"/>
  <c r="B11" i="22" s="1"/>
  <c r="C10" i="21"/>
  <c r="A10" i="22" s="1"/>
  <c r="B10" i="22" s="1"/>
  <c r="C9" i="21"/>
  <c r="A9" i="22" s="1"/>
  <c r="B9" i="22" s="1"/>
  <c r="C7" i="21"/>
  <c r="A7" i="22" s="1"/>
  <c r="B7" i="22" s="1"/>
  <c r="E30" i="14"/>
  <c r="D27" i="14"/>
  <c r="A59" i="6"/>
  <c r="B59" i="6" s="1"/>
  <c r="A60" i="6"/>
  <c r="B60" i="6" s="1"/>
  <c r="A61" i="6"/>
  <c r="B61" i="6" s="1"/>
  <c r="A62" i="6"/>
  <c r="B62" i="6" s="1"/>
  <c r="A63" i="6"/>
  <c r="B63" i="6" s="1"/>
  <c r="A64" i="6"/>
  <c r="B64" i="6" s="1"/>
  <c r="A65" i="6"/>
  <c r="B65" i="6" s="1"/>
  <c r="A66" i="6"/>
  <c r="B66" i="6" s="1"/>
  <c r="A67" i="6"/>
  <c r="B67" i="6" s="1"/>
  <c r="A68" i="6"/>
  <c r="B68" i="6" s="1"/>
  <c r="A69" i="6"/>
  <c r="B69" i="6" s="1"/>
  <c r="A70" i="6"/>
  <c r="B70" i="6" s="1"/>
  <c r="A71" i="6"/>
  <c r="B71" i="6" s="1"/>
  <c r="A72" i="6"/>
  <c r="D72" i="6" s="1"/>
  <c r="A73" i="6"/>
  <c r="B73" i="6" s="1"/>
  <c r="A74" i="6"/>
  <c r="B74" i="6" s="1"/>
  <c r="A75" i="6"/>
  <c r="D75" i="6" s="1"/>
  <c r="A76" i="6"/>
  <c r="B76" i="6" s="1"/>
  <c r="A77" i="6"/>
  <c r="B77" i="6" s="1"/>
  <c r="A78" i="6"/>
  <c r="D78" i="6" s="1"/>
  <c r="A79" i="6"/>
  <c r="B79" i="6" s="1"/>
  <c r="A80" i="6"/>
  <c r="B80" i="6" s="1"/>
  <c r="A81" i="6"/>
  <c r="D81" i="6" s="1"/>
  <c r="A82" i="6"/>
  <c r="A83" i="6"/>
  <c r="A84" i="6"/>
  <c r="D84" i="6" s="1"/>
  <c r="A85" i="6"/>
  <c r="A86" i="6"/>
  <c r="A87" i="6"/>
  <c r="D87" i="6" s="1"/>
  <c r="A88" i="6"/>
  <c r="A89" i="6"/>
  <c r="A90" i="6"/>
  <c r="D90" i="6" s="1"/>
  <c r="A91" i="6"/>
  <c r="A92" i="6"/>
  <c r="A93" i="6"/>
  <c r="D93" i="6" s="1"/>
  <c r="A94" i="6"/>
  <c r="A95" i="6"/>
  <c r="A96" i="6"/>
  <c r="D96" i="6" s="1"/>
  <c r="A97" i="6"/>
  <c r="A98" i="6"/>
  <c r="A99" i="6"/>
  <c r="D99" i="6" s="1"/>
  <c r="A100" i="6"/>
  <c r="A101" i="6"/>
  <c r="A102" i="6"/>
  <c r="D102" i="6" s="1"/>
  <c r="A103" i="6"/>
  <c r="A104" i="6"/>
  <c r="A105" i="6"/>
  <c r="D105" i="6" s="1"/>
  <c r="A106" i="6"/>
  <c r="A107" i="6"/>
  <c r="A108" i="6"/>
  <c r="D108" i="6" s="1"/>
  <c r="A109" i="6"/>
  <c r="A110" i="6"/>
  <c r="A111" i="6"/>
  <c r="D111" i="6" s="1"/>
  <c r="A112" i="6"/>
  <c r="A113" i="6"/>
  <c r="A114" i="6"/>
  <c r="D114" i="6" s="1"/>
  <c r="A115" i="6"/>
  <c r="A116" i="6"/>
  <c r="A117" i="6"/>
  <c r="D117" i="6" s="1"/>
  <c r="A118" i="6"/>
  <c r="A119" i="6"/>
  <c r="A120" i="6"/>
  <c r="D120" i="6" s="1"/>
  <c r="A121" i="6"/>
  <c r="A122" i="6"/>
  <c r="A123" i="6"/>
  <c r="D123" i="6" s="1"/>
  <c r="A124" i="6"/>
  <c r="A125" i="6"/>
  <c r="A126" i="6"/>
  <c r="D126" i="6" s="1"/>
  <c r="A127" i="6"/>
  <c r="A128" i="6"/>
  <c r="A129" i="6"/>
  <c r="D129" i="6" s="1"/>
  <c r="A130" i="6"/>
  <c r="A131" i="6"/>
  <c r="A132" i="6"/>
  <c r="D132" i="6" s="1"/>
  <c r="A133" i="6"/>
  <c r="A134" i="6"/>
  <c r="A135" i="6"/>
  <c r="D135" i="6" s="1"/>
  <c r="A136" i="6"/>
  <c r="A137" i="6"/>
  <c r="A138" i="6"/>
  <c r="D138" i="6" s="1"/>
  <c r="A139" i="6"/>
  <c r="A140" i="6"/>
  <c r="A141" i="6"/>
  <c r="D141" i="6" s="1"/>
  <c r="A142" i="6"/>
  <c r="A143" i="6"/>
  <c r="A144" i="6"/>
  <c r="D144" i="6" s="1"/>
  <c r="A145" i="6"/>
  <c r="A146" i="6"/>
  <c r="A147" i="6"/>
  <c r="D147" i="6" s="1"/>
  <c r="A148" i="6"/>
  <c r="A149" i="6"/>
  <c r="A150" i="6"/>
  <c r="D150" i="6" s="1"/>
  <c r="A151" i="6"/>
  <c r="A152" i="6"/>
  <c r="A153" i="6"/>
  <c r="D153" i="6" s="1"/>
  <c r="A154" i="6"/>
  <c r="A155" i="6"/>
  <c r="A156" i="6"/>
  <c r="D156" i="6" s="1"/>
  <c r="A157" i="6"/>
  <c r="A158" i="6"/>
  <c r="A159" i="6"/>
  <c r="D159" i="6" s="1"/>
  <c r="A160" i="6"/>
  <c r="A161" i="6"/>
  <c r="A162" i="6"/>
  <c r="D162" i="6" s="1"/>
  <c r="A163" i="6"/>
  <c r="A164" i="6"/>
  <c r="A165" i="6"/>
  <c r="D165" i="6" s="1"/>
  <c r="A166" i="6"/>
  <c r="A167" i="6"/>
  <c r="A168" i="6"/>
  <c r="D168" i="6" s="1"/>
  <c r="A169" i="6"/>
  <c r="A170" i="6"/>
  <c r="A171" i="6"/>
  <c r="D171" i="6" s="1"/>
  <c r="A172" i="6"/>
  <c r="A173" i="6"/>
  <c r="A174" i="6"/>
  <c r="D174" i="6" s="1"/>
  <c r="A175" i="6"/>
  <c r="A176" i="6"/>
  <c r="A177" i="6"/>
  <c r="D177" i="6" s="1"/>
  <c r="A178" i="6"/>
  <c r="A179" i="6"/>
  <c r="A180" i="6"/>
  <c r="D180" i="6" s="1"/>
  <c r="A181" i="6"/>
  <c r="A182" i="6"/>
  <c r="A183" i="6"/>
  <c r="D183" i="6" s="1"/>
  <c r="A184" i="6"/>
  <c r="A185" i="6"/>
  <c r="A186" i="6"/>
  <c r="D186" i="6" s="1"/>
  <c r="A187" i="6"/>
  <c r="A188" i="6"/>
  <c r="A189" i="6"/>
  <c r="D189" i="6" s="1"/>
  <c r="A190" i="6"/>
  <c r="A191" i="6"/>
  <c r="A192" i="6"/>
  <c r="D192" i="6" s="1"/>
  <c r="A193" i="6"/>
  <c r="A194" i="6"/>
  <c r="A195" i="6"/>
  <c r="D195" i="6" s="1"/>
  <c r="A196" i="6"/>
  <c r="A197" i="6"/>
  <c r="A198" i="6"/>
  <c r="D198" i="6" s="1"/>
  <c r="A199" i="6"/>
  <c r="A200" i="6"/>
  <c r="A201" i="6"/>
  <c r="D201" i="6" s="1"/>
  <c r="A202" i="6"/>
  <c r="A203" i="6"/>
  <c r="A204" i="6"/>
  <c r="D204" i="6" s="1"/>
  <c r="A205" i="6"/>
  <c r="A206" i="6"/>
  <c r="A207" i="6"/>
  <c r="D207" i="6" s="1"/>
  <c r="A208" i="6"/>
  <c r="A209" i="6"/>
  <c r="A210" i="6"/>
  <c r="D210" i="6" s="1"/>
  <c r="A211" i="6"/>
  <c r="A212" i="6"/>
  <c r="A213" i="6"/>
  <c r="D213" i="6" s="1"/>
  <c r="A214" i="6"/>
  <c r="A215" i="6"/>
  <c r="A216" i="6"/>
  <c r="D216" i="6" s="1"/>
  <c r="A217" i="6"/>
  <c r="A218" i="6"/>
  <c r="A219" i="6"/>
  <c r="D219" i="6" s="1"/>
  <c r="A220" i="6"/>
  <c r="A221" i="6"/>
  <c r="A222" i="6"/>
  <c r="D222" i="6" s="1"/>
  <c r="A223" i="6"/>
  <c r="A224" i="6"/>
  <c r="A225" i="6"/>
  <c r="D225" i="6" s="1"/>
  <c r="A226" i="6"/>
  <c r="A227" i="6"/>
  <c r="A228" i="6"/>
  <c r="D228" i="6" s="1"/>
  <c r="A229" i="6"/>
  <c r="A230" i="6"/>
  <c r="A231" i="6"/>
  <c r="D231" i="6" s="1"/>
  <c r="A232" i="6"/>
  <c r="A233" i="6"/>
  <c r="A234" i="6"/>
  <c r="D234" i="6" s="1"/>
  <c r="A235" i="6"/>
  <c r="A236" i="6"/>
  <c r="A237" i="6"/>
  <c r="C237" i="6" s="1"/>
  <c r="A238" i="6"/>
  <c r="A239" i="6"/>
  <c r="A240" i="6"/>
  <c r="B240" i="6" s="1"/>
  <c r="A241" i="6"/>
  <c r="A242" i="6"/>
  <c r="A243" i="6"/>
  <c r="D243" i="6" s="1"/>
  <c r="A244" i="6"/>
  <c r="A245" i="6"/>
  <c r="A246" i="6"/>
  <c r="B246" i="6" s="1"/>
  <c r="A247" i="6"/>
  <c r="A248" i="6"/>
  <c r="A249" i="6"/>
  <c r="B249" i="6" s="1"/>
  <c r="A250" i="6"/>
  <c r="A251" i="6"/>
  <c r="A252" i="6"/>
  <c r="A253" i="6"/>
  <c r="A254" i="6"/>
  <c r="A255" i="6"/>
  <c r="C255" i="6" s="1"/>
  <c r="A256" i="6"/>
  <c r="A257" i="6"/>
  <c r="A258" i="6"/>
  <c r="A259" i="6"/>
  <c r="A260" i="6"/>
  <c r="B260" i="6" s="1"/>
  <c r="A261" i="6"/>
  <c r="B261" i="6" s="1"/>
  <c r="A262" i="6"/>
  <c r="B262" i="6" s="1"/>
  <c r="A263" i="6"/>
  <c r="B263" i="6" s="1"/>
  <c r="A264" i="6"/>
  <c r="B264" i="6" s="1"/>
  <c r="A265" i="6"/>
  <c r="B265" i="6" s="1"/>
  <c r="A266" i="6"/>
  <c r="B266" i="6" s="1"/>
  <c r="A267" i="6"/>
  <c r="A268" i="6"/>
  <c r="B268" i="6" s="1"/>
  <c r="A269" i="6"/>
  <c r="B269" i="6" s="1"/>
  <c r="A270" i="6"/>
  <c r="B270" i="6" s="1"/>
  <c r="A271" i="6"/>
  <c r="B271" i="6" s="1"/>
  <c r="A272" i="6"/>
  <c r="B272" i="6" s="1"/>
  <c r="A273" i="6"/>
  <c r="B273" i="6" s="1"/>
  <c r="A274" i="6"/>
  <c r="B274" i="6" s="1"/>
  <c r="A275" i="6"/>
  <c r="B275" i="6" s="1"/>
  <c r="A276" i="6"/>
  <c r="A277" i="6"/>
  <c r="B277" i="6" s="1"/>
  <c r="A278" i="6"/>
  <c r="B278" i="6" s="1"/>
  <c r="A279" i="6"/>
  <c r="B279" i="6" s="1"/>
  <c r="A280" i="6"/>
  <c r="B280" i="6" s="1"/>
  <c r="A281" i="6"/>
  <c r="B281" i="6" s="1"/>
  <c r="A282" i="6"/>
  <c r="B282" i="6" s="1"/>
  <c r="A283" i="6"/>
  <c r="B283" i="6" s="1"/>
  <c r="A284" i="6"/>
  <c r="B284" i="6" s="1"/>
  <c r="A285" i="6"/>
  <c r="A286" i="6"/>
  <c r="B286" i="6" s="1"/>
  <c r="A287" i="6"/>
  <c r="B287" i="6" s="1"/>
  <c r="A288" i="6"/>
  <c r="B288" i="6" s="1"/>
  <c r="A289" i="6"/>
  <c r="B289" i="6" s="1"/>
  <c r="A290" i="6"/>
  <c r="B290" i="6" s="1"/>
  <c r="A291" i="6"/>
  <c r="B291" i="6" s="1"/>
  <c r="A292" i="6"/>
  <c r="B292" i="6" s="1"/>
  <c r="A293" i="6"/>
  <c r="B293" i="6" s="1"/>
  <c r="A294" i="6"/>
  <c r="A295" i="6"/>
  <c r="B295" i="6" s="1"/>
  <c r="A296" i="6"/>
  <c r="B296" i="6" s="1"/>
  <c r="A297" i="6"/>
  <c r="B297" i="6" s="1"/>
  <c r="A298" i="6"/>
  <c r="B298" i="6" s="1"/>
  <c r="A299" i="6"/>
  <c r="B299" i="6" s="1"/>
  <c r="A300" i="6"/>
  <c r="B300" i="6" s="1"/>
  <c r="A301" i="6"/>
  <c r="B301" i="6" s="1"/>
  <c r="A302" i="6"/>
  <c r="B302" i="6" s="1"/>
  <c r="A303" i="6"/>
  <c r="A304" i="6"/>
  <c r="B304" i="6" s="1"/>
  <c r="A305" i="6"/>
  <c r="B305" i="6" s="1"/>
  <c r="A306" i="6"/>
  <c r="B306" i="6" s="1"/>
  <c r="A307" i="6"/>
  <c r="B307" i="6" s="1"/>
  <c r="A308" i="6"/>
  <c r="B308" i="6" s="1"/>
  <c r="A309" i="6"/>
  <c r="B309" i="6" s="1"/>
  <c r="A310" i="6"/>
  <c r="A311" i="6"/>
  <c r="B311" i="6" s="1"/>
  <c r="A312" i="6"/>
  <c r="A313" i="6"/>
  <c r="B313" i="6" s="1"/>
  <c r="A314" i="6"/>
  <c r="B314" i="6" s="1"/>
  <c r="A315" i="6"/>
  <c r="B315" i="6" s="1"/>
  <c r="A316" i="6"/>
  <c r="B316" i="6" s="1"/>
  <c r="A317" i="6"/>
  <c r="B317" i="6" s="1"/>
  <c r="A318" i="6"/>
  <c r="B318" i="6" s="1"/>
  <c r="A319" i="6"/>
  <c r="B319" i="6" s="1"/>
  <c r="A320" i="6"/>
  <c r="B320" i="6" s="1"/>
  <c r="A321" i="6"/>
  <c r="A322" i="6"/>
  <c r="B322" i="6" s="1"/>
  <c r="A323" i="6"/>
  <c r="B323" i="6" s="1"/>
  <c r="A324" i="6"/>
  <c r="B324" i="6" s="1"/>
  <c r="A325" i="6"/>
  <c r="B325" i="6" s="1"/>
  <c r="A326" i="6"/>
  <c r="B326" i="6" s="1"/>
  <c r="A327" i="6"/>
  <c r="B327" i="6" s="1"/>
  <c r="A328" i="6"/>
  <c r="B328" i="6" s="1"/>
  <c r="A329" i="6"/>
  <c r="A330" i="6"/>
  <c r="A331" i="6"/>
  <c r="B331" i="6" s="1"/>
  <c r="A332" i="6"/>
  <c r="B332" i="6" s="1"/>
  <c r="A333" i="6"/>
  <c r="B333" i="6" s="1"/>
  <c r="A334" i="6"/>
  <c r="B334" i="6" s="1"/>
  <c r="A335" i="6"/>
  <c r="B335" i="6" s="1"/>
  <c r="A336" i="6"/>
  <c r="B336" i="6" s="1"/>
  <c r="A337" i="6"/>
  <c r="B337" i="6" s="1"/>
  <c r="A338" i="6"/>
  <c r="A339" i="6"/>
  <c r="A340" i="6"/>
  <c r="A341" i="6"/>
  <c r="B341" i="6" s="1"/>
  <c r="A342" i="6"/>
  <c r="B342" i="6" s="1"/>
  <c r="A343" i="6"/>
  <c r="B343" i="6" s="1"/>
  <c r="A344" i="6"/>
  <c r="B344" i="6" s="1"/>
  <c r="A345" i="6"/>
  <c r="B345" i="6" s="1"/>
  <c r="A346" i="6"/>
  <c r="B346" i="6" s="1"/>
  <c r="A347" i="6"/>
  <c r="A348" i="6"/>
  <c r="A349" i="6"/>
  <c r="B349" i="6" s="1"/>
  <c r="A350" i="6"/>
  <c r="B350" i="6" s="1"/>
  <c r="A351" i="6"/>
  <c r="B351" i="6" s="1"/>
  <c r="A352" i="6"/>
  <c r="A353" i="6"/>
  <c r="B353" i="6" s="1"/>
  <c r="A354" i="6"/>
  <c r="B354" i="6" s="1"/>
  <c r="A355" i="6"/>
  <c r="B355" i="6" s="1"/>
  <c r="A356" i="6"/>
  <c r="A357" i="6"/>
  <c r="A358" i="6"/>
  <c r="B358" i="6" s="1"/>
  <c r="A359" i="6"/>
  <c r="B359" i="6" s="1"/>
  <c r="A360" i="6"/>
  <c r="B360" i="6" s="1"/>
  <c r="A361" i="6"/>
  <c r="B361" i="6" s="1"/>
  <c r="A362" i="6"/>
  <c r="B362" i="6" s="1"/>
  <c r="A363" i="6"/>
  <c r="B363" i="6" s="1"/>
  <c r="A364" i="6"/>
  <c r="B364" i="6" s="1"/>
  <c r="A365" i="6"/>
  <c r="A366" i="6"/>
  <c r="A367" i="6"/>
  <c r="B367" i="6" s="1"/>
  <c r="A368" i="6"/>
  <c r="B368" i="6" s="1"/>
  <c r="A369" i="6"/>
  <c r="B369" i="6" s="1"/>
  <c r="A370" i="6"/>
  <c r="B370" i="6" s="1"/>
  <c r="A371" i="6"/>
  <c r="B371" i="6" s="1"/>
  <c r="A372" i="6"/>
  <c r="B372" i="6" s="1"/>
  <c r="A373" i="6"/>
  <c r="B373" i="6" s="1"/>
  <c r="A374" i="6"/>
  <c r="A375" i="6"/>
  <c r="A376" i="6"/>
  <c r="B376" i="6" s="1"/>
  <c r="A377" i="6"/>
  <c r="B377" i="6" s="1"/>
  <c r="A378" i="6"/>
  <c r="B378" i="6" s="1"/>
  <c r="A379" i="6"/>
  <c r="B379" i="6" s="1"/>
  <c r="A380" i="6"/>
  <c r="B380" i="6" s="1"/>
  <c r="A381" i="6"/>
  <c r="B381" i="6" s="1"/>
  <c r="A382" i="6"/>
  <c r="B382" i="6" s="1"/>
  <c r="A383" i="6"/>
  <c r="A384" i="6"/>
  <c r="A385" i="6"/>
  <c r="B385" i="6" s="1"/>
  <c r="A386" i="6"/>
  <c r="B386" i="6" s="1"/>
  <c r="A387" i="6"/>
  <c r="B387" i="6" s="1"/>
  <c r="A388" i="6"/>
  <c r="B388" i="6" s="1"/>
  <c r="A389" i="6"/>
  <c r="B389" i="6" s="1"/>
  <c r="A390" i="6"/>
  <c r="B390" i="6" s="1"/>
  <c r="A391" i="6"/>
  <c r="B391" i="6" s="1"/>
  <c r="A392" i="6"/>
  <c r="A393" i="6"/>
  <c r="A394" i="6"/>
  <c r="B394" i="6" s="1"/>
  <c r="A395" i="6"/>
  <c r="B395" i="6" s="1"/>
  <c r="A396" i="6"/>
  <c r="B396" i="6" s="1"/>
  <c r="A397" i="6"/>
  <c r="B397" i="6" s="1"/>
  <c r="A398" i="6"/>
  <c r="B398" i="6" s="1"/>
  <c r="A399" i="6"/>
  <c r="B399" i="6" s="1"/>
  <c r="A400" i="6"/>
  <c r="B400" i="6" s="1"/>
  <c r="A401" i="6"/>
  <c r="A402" i="6"/>
  <c r="A403" i="6"/>
  <c r="B403" i="6" s="1"/>
  <c r="A404" i="6"/>
  <c r="B404" i="6" s="1"/>
  <c r="A405" i="6"/>
  <c r="B405" i="6" s="1"/>
  <c r="A406" i="6"/>
  <c r="B406" i="6" s="1"/>
  <c r="A407" i="6"/>
  <c r="B407" i="6" s="1"/>
  <c r="A408" i="6"/>
  <c r="B408" i="6" s="1"/>
  <c r="A409" i="6"/>
  <c r="B409" i="6" s="1"/>
  <c r="A410" i="6"/>
  <c r="A411" i="6"/>
  <c r="A412" i="6"/>
  <c r="B412" i="6" s="1"/>
  <c r="A413" i="6"/>
  <c r="B413" i="6" s="1"/>
  <c r="A414" i="6"/>
  <c r="B414" i="6" s="1"/>
  <c r="A415" i="6"/>
  <c r="B415" i="6" s="1"/>
  <c r="A416" i="6"/>
  <c r="B416" i="6" s="1"/>
  <c r="A417" i="6"/>
  <c r="B417" i="6" s="1"/>
  <c r="A418" i="6"/>
  <c r="B418" i="6" s="1"/>
  <c r="A419" i="6"/>
  <c r="A420" i="6"/>
  <c r="A421" i="6"/>
  <c r="B421" i="6" s="1"/>
  <c r="A422" i="6"/>
  <c r="B422" i="6" s="1"/>
  <c r="A423" i="6"/>
  <c r="A424" i="6"/>
  <c r="A425" i="6"/>
  <c r="B425" i="6" s="1"/>
  <c r="A426" i="6"/>
  <c r="C426" i="6" s="1"/>
  <c r="A427" i="6"/>
  <c r="A428" i="6"/>
  <c r="A429" i="6"/>
  <c r="C429" i="6" s="1"/>
  <c r="A430" i="6"/>
  <c r="B430" i="6" s="1"/>
  <c r="A431" i="6"/>
  <c r="A432" i="6"/>
  <c r="A433" i="6"/>
  <c r="B433" i="6" s="1"/>
  <c r="A434" i="6"/>
  <c r="A435" i="6"/>
  <c r="A436" i="6"/>
  <c r="A437" i="6"/>
  <c r="B437" i="6" s="1"/>
  <c r="A438" i="6"/>
  <c r="A439" i="6"/>
  <c r="A440" i="6"/>
  <c r="A441" i="6"/>
  <c r="C441" i="6" s="1"/>
  <c r="A442" i="6"/>
  <c r="A443" i="6"/>
  <c r="A444" i="6"/>
  <c r="A445" i="6"/>
  <c r="B445" i="6" s="1"/>
  <c r="A446" i="6"/>
  <c r="A447" i="6"/>
  <c r="A448" i="6"/>
  <c r="A449" i="6"/>
  <c r="B449" i="6" s="1"/>
  <c r="A450" i="6"/>
  <c r="A451" i="6"/>
  <c r="A452" i="6"/>
  <c r="A453" i="6"/>
  <c r="C453" i="6" s="1"/>
  <c r="A454" i="6"/>
  <c r="A455" i="6"/>
  <c r="A456" i="6"/>
  <c r="A457" i="6"/>
  <c r="B457" i="6" s="1"/>
  <c r="A458" i="6"/>
  <c r="A459" i="6"/>
  <c r="A460" i="6"/>
  <c r="A461" i="6"/>
  <c r="B461" i="6" s="1"/>
  <c r="A462" i="6"/>
  <c r="A463" i="6"/>
  <c r="A464" i="6"/>
  <c r="A465" i="6"/>
  <c r="C465" i="6" s="1"/>
  <c r="A466" i="6"/>
  <c r="A467" i="6"/>
  <c r="A468" i="6"/>
  <c r="A469" i="6"/>
  <c r="B469" i="6" s="1"/>
  <c r="A470" i="6"/>
  <c r="A471" i="6"/>
  <c r="A472" i="6"/>
  <c r="A473" i="6"/>
  <c r="B473" i="6" s="1"/>
  <c r="A474" i="6"/>
  <c r="A475" i="6"/>
  <c r="A476" i="6"/>
  <c r="A477" i="6"/>
  <c r="C477" i="6" s="1"/>
  <c r="A478" i="6"/>
  <c r="A479" i="6"/>
  <c r="A480" i="6"/>
  <c r="A481" i="6"/>
  <c r="B481" i="6" s="1"/>
  <c r="A482" i="6"/>
  <c r="A483" i="6"/>
  <c r="A484" i="6"/>
  <c r="A485" i="6"/>
  <c r="B485" i="6" s="1"/>
  <c r="A486" i="6"/>
  <c r="A487" i="6"/>
  <c r="A488" i="6"/>
  <c r="A489" i="6"/>
  <c r="B489" i="6" s="1"/>
  <c r="A490" i="6"/>
  <c r="B490" i="6" s="1"/>
  <c r="A491" i="6"/>
  <c r="B491" i="6" s="1"/>
  <c r="A492" i="6"/>
  <c r="C492" i="6" s="1"/>
  <c r="A493" i="6"/>
  <c r="D493" i="6" s="1"/>
  <c r="A494" i="6"/>
  <c r="B494" i="6" s="1"/>
  <c r="A495" i="6"/>
  <c r="D495" i="6" s="1"/>
  <c r="A496" i="6"/>
  <c r="B496" i="6" s="1"/>
  <c r="A497" i="6"/>
  <c r="C497" i="6" s="1"/>
  <c r="A498" i="6"/>
  <c r="A499" i="6"/>
  <c r="D499" i="6" s="1"/>
  <c r="A500" i="6"/>
  <c r="B500" i="6" s="1"/>
  <c r="A501" i="6"/>
  <c r="D501" i="6" s="1"/>
  <c r="A502" i="6"/>
  <c r="B502" i="6" s="1"/>
  <c r="A503" i="6"/>
  <c r="B503" i="6" s="1"/>
  <c r="A504" i="6"/>
  <c r="C504" i="6" s="1"/>
  <c r="A505" i="6"/>
  <c r="B505" i="6" s="1"/>
  <c r="A506" i="6"/>
  <c r="A507" i="6"/>
  <c r="C507" i="6" s="1"/>
  <c r="A508" i="6"/>
  <c r="D508" i="6" s="1"/>
  <c r="A509" i="6"/>
  <c r="B509" i="6" s="1"/>
  <c r="A510" i="6"/>
  <c r="C510" i="6" s="1"/>
  <c r="A511" i="6"/>
  <c r="D511" i="6" s="1"/>
  <c r="A512" i="6"/>
  <c r="A513" i="6"/>
  <c r="C513" i="6" s="1"/>
  <c r="A514" i="6"/>
  <c r="D514" i="6" s="1"/>
  <c r="A515" i="6"/>
  <c r="B515" i="6" s="1"/>
  <c r="A516" i="6"/>
  <c r="C516" i="6" s="1"/>
  <c r="A517" i="6"/>
  <c r="D517" i="6" s="1"/>
  <c r="A518" i="6"/>
  <c r="B518" i="6" s="1"/>
  <c r="A519" i="6"/>
  <c r="C519" i="6" s="1"/>
  <c r="A520" i="6"/>
  <c r="D520" i="6" s="1"/>
  <c r="A521" i="6"/>
  <c r="A522" i="6"/>
  <c r="C522" i="6" s="1"/>
  <c r="A523" i="6"/>
  <c r="D523" i="6" s="1"/>
  <c r="A524" i="6"/>
  <c r="B524" i="6" s="1"/>
  <c r="A525" i="6"/>
  <c r="C525" i="6" s="1"/>
  <c r="A526" i="6"/>
  <c r="D526" i="6" s="1"/>
  <c r="A527" i="6"/>
  <c r="B527" i="6" s="1"/>
  <c r="A528" i="6"/>
  <c r="C528" i="6" s="1"/>
  <c r="A529" i="6"/>
  <c r="D529" i="6" s="1"/>
  <c r="A530" i="6"/>
  <c r="A531" i="6"/>
  <c r="C531" i="6" s="1"/>
  <c r="A532" i="6"/>
  <c r="D532" i="6" s="1"/>
  <c r="A533" i="6"/>
  <c r="B533" i="6" s="1"/>
  <c r="A534" i="6"/>
  <c r="C534" i="6" s="1"/>
  <c r="A535" i="6"/>
  <c r="D535" i="6" s="1"/>
  <c r="A536" i="6"/>
  <c r="B536" i="6" s="1"/>
  <c r="A537" i="6"/>
  <c r="C537" i="6" s="1"/>
  <c r="A538" i="6"/>
  <c r="D538" i="6" s="1"/>
  <c r="A539" i="6"/>
  <c r="A540" i="6"/>
  <c r="C540" i="6" s="1"/>
  <c r="A541" i="6"/>
  <c r="D541" i="6" s="1"/>
  <c r="A542" i="6"/>
  <c r="B542" i="6" s="1"/>
  <c r="A543" i="6"/>
  <c r="C543" i="6" s="1"/>
  <c r="A544" i="6"/>
  <c r="D544" i="6" s="1"/>
  <c r="A545" i="6"/>
  <c r="B545" i="6" s="1"/>
  <c r="A546" i="6"/>
  <c r="C546" i="6" s="1"/>
  <c r="A547" i="6"/>
  <c r="D547" i="6" s="1"/>
  <c r="A548" i="6"/>
  <c r="A549" i="6"/>
  <c r="C549" i="6" s="1"/>
  <c r="A550" i="6"/>
  <c r="D550" i="6" s="1"/>
  <c r="A551" i="6"/>
  <c r="B551" i="6" s="1"/>
  <c r="A552" i="6"/>
  <c r="C552" i="6" s="1"/>
  <c r="A553" i="6"/>
  <c r="D553" i="6" s="1"/>
  <c r="A554" i="6"/>
  <c r="B554" i="6" s="1"/>
  <c r="A555" i="6"/>
  <c r="C555" i="6" s="1"/>
  <c r="A556" i="6"/>
  <c r="D556" i="6" s="1"/>
  <c r="A557" i="6"/>
  <c r="A558" i="6"/>
  <c r="C558" i="6" s="1"/>
  <c r="A559" i="6"/>
  <c r="D559" i="6" s="1"/>
  <c r="A560" i="6"/>
  <c r="B560" i="6" s="1"/>
  <c r="A561" i="6"/>
  <c r="C561" i="6" s="1"/>
  <c r="A562" i="6"/>
  <c r="D562" i="6" s="1"/>
  <c r="A563" i="6"/>
  <c r="B563" i="6" s="1"/>
  <c r="A564" i="6"/>
  <c r="C564" i="6" s="1"/>
  <c r="A565" i="6"/>
  <c r="D565" i="6" s="1"/>
  <c r="A566" i="6"/>
  <c r="A567" i="6"/>
  <c r="C567" i="6" s="1"/>
  <c r="A568" i="6"/>
  <c r="D568" i="6" s="1"/>
  <c r="A569" i="6"/>
  <c r="B569" i="6" s="1"/>
  <c r="A570" i="6"/>
  <c r="C570" i="6" s="1"/>
  <c r="A571" i="6"/>
  <c r="D571" i="6" s="1"/>
  <c r="A572" i="6"/>
  <c r="B572" i="6" s="1"/>
  <c r="A573" i="6"/>
  <c r="C573" i="6" s="1"/>
  <c r="A574" i="6"/>
  <c r="D574" i="6" s="1"/>
  <c r="A575" i="6"/>
  <c r="A576" i="6"/>
  <c r="C576" i="6" s="1"/>
  <c r="A577" i="6"/>
  <c r="D577" i="6" s="1"/>
  <c r="A578" i="6"/>
  <c r="B578" i="6" s="1"/>
  <c r="A579" i="6"/>
  <c r="C579" i="6" s="1"/>
  <c r="A580" i="6"/>
  <c r="D580" i="6" s="1"/>
  <c r="A581" i="6"/>
  <c r="B581" i="6" s="1"/>
  <c r="A582" i="6"/>
  <c r="C582" i="6" s="1"/>
  <c r="A583" i="6"/>
  <c r="D583" i="6" s="1"/>
  <c r="A584" i="6"/>
  <c r="A585" i="6"/>
  <c r="C585" i="6" s="1"/>
  <c r="A586" i="6"/>
  <c r="D586" i="6" s="1"/>
  <c r="A587" i="6"/>
  <c r="B587" i="6" s="1"/>
  <c r="A588" i="6"/>
  <c r="C588" i="6" s="1"/>
  <c r="A589" i="6"/>
  <c r="D589" i="6" s="1"/>
  <c r="A590" i="6"/>
  <c r="B590" i="6" s="1"/>
  <c r="A591" i="6"/>
  <c r="C591" i="6" s="1"/>
  <c r="A592" i="6"/>
  <c r="D592" i="6" s="1"/>
  <c r="A593" i="6"/>
  <c r="A594" i="6"/>
  <c r="C594" i="6" s="1"/>
  <c r="A595" i="6"/>
  <c r="D595" i="6" s="1"/>
  <c r="A596" i="6"/>
  <c r="B596" i="6" s="1"/>
  <c r="A597" i="6"/>
  <c r="C597" i="6" s="1"/>
  <c r="A598" i="6"/>
  <c r="D598" i="6" s="1"/>
  <c r="A599" i="6"/>
  <c r="B599" i="6" s="1"/>
  <c r="A600" i="6"/>
  <c r="C600" i="6" s="1"/>
  <c r="A601" i="6"/>
  <c r="D601" i="6" s="1"/>
  <c r="A602" i="6"/>
  <c r="A603" i="6"/>
  <c r="C603" i="6" s="1"/>
  <c r="A604" i="6"/>
  <c r="D604" i="6" s="1"/>
  <c r="A605" i="6"/>
  <c r="B605" i="6" s="1"/>
  <c r="A606" i="6"/>
  <c r="C606" i="6" s="1"/>
  <c r="A607" i="6"/>
  <c r="D607" i="6" s="1"/>
  <c r="A608" i="6"/>
  <c r="B608" i="6" s="1"/>
  <c r="A609" i="6"/>
  <c r="C609" i="6" s="1"/>
  <c r="A610" i="6"/>
  <c r="D610" i="6" s="1"/>
  <c r="A611" i="6"/>
  <c r="A612" i="6"/>
  <c r="C612" i="6" s="1"/>
  <c r="A613" i="6"/>
  <c r="D613" i="6" s="1"/>
  <c r="A614" i="6"/>
  <c r="B614" i="6" s="1"/>
  <c r="A615" i="6"/>
  <c r="C615" i="6" s="1"/>
  <c r="A616" i="6"/>
  <c r="D616" i="6" s="1"/>
  <c r="A617" i="6"/>
  <c r="B617" i="6" s="1"/>
  <c r="A618" i="6"/>
  <c r="C618" i="6" s="1"/>
  <c r="A619" i="6"/>
  <c r="D619" i="6" s="1"/>
  <c r="A620" i="6"/>
  <c r="A621" i="6"/>
  <c r="C621" i="6" s="1"/>
  <c r="A622" i="6"/>
  <c r="D622" i="6" s="1"/>
  <c r="A623" i="6"/>
  <c r="B623" i="6" s="1"/>
  <c r="A624" i="6"/>
  <c r="C624" i="6" s="1"/>
  <c r="A625" i="6"/>
  <c r="D625" i="6" s="1"/>
  <c r="A626" i="6"/>
  <c r="B626" i="6" s="1"/>
  <c r="A627" i="6"/>
  <c r="C627" i="6" s="1"/>
  <c r="A628" i="6"/>
  <c r="B628" i="6" s="1"/>
  <c r="A629" i="6"/>
  <c r="B629" i="6" s="1"/>
  <c r="A630" i="6"/>
  <c r="C630" i="6" s="1"/>
  <c r="A631" i="6"/>
  <c r="B631" i="6" s="1"/>
  <c r="A632" i="6"/>
  <c r="B632" i="6" s="1"/>
  <c r="A633" i="6"/>
  <c r="C633" i="6" s="1"/>
  <c r="A634" i="6"/>
  <c r="B634" i="6" s="1"/>
  <c r="A635" i="6"/>
  <c r="B635" i="6" s="1"/>
  <c r="A636" i="6"/>
  <c r="C636" i="6" s="1"/>
  <c r="A637" i="6"/>
  <c r="B637" i="6" s="1"/>
  <c r="A638" i="6"/>
  <c r="B638" i="6" s="1"/>
  <c r="A639" i="6"/>
  <c r="B639" i="6" s="1"/>
  <c r="A640" i="6"/>
  <c r="D640" i="6" s="1"/>
  <c r="A641" i="6"/>
  <c r="B641" i="6" s="1"/>
  <c r="A642" i="6"/>
  <c r="B642" i="6" s="1"/>
  <c r="A643" i="6"/>
  <c r="B643" i="6" s="1"/>
  <c r="A644" i="6"/>
  <c r="A645" i="6"/>
  <c r="B645" i="6" s="1"/>
  <c r="A646" i="6"/>
  <c r="B646" i="6" s="1"/>
  <c r="A647" i="6"/>
  <c r="B647" i="6" s="1"/>
  <c r="A648" i="6"/>
  <c r="B648" i="6" s="1"/>
  <c r="A649" i="6"/>
  <c r="B649" i="6" s="1"/>
  <c r="A650" i="6"/>
  <c r="B650" i="6" s="1"/>
  <c r="A651" i="6"/>
  <c r="D651" i="6" s="1"/>
  <c r="A652" i="6"/>
  <c r="B652" i="6" s="1"/>
  <c r="A653" i="6"/>
  <c r="B653" i="6" s="1"/>
  <c r="A654" i="6"/>
  <c r="D654" i="6" s="1"/>
  <c r="A655" i="6"/>
  <c r="B655" i="6" s="1"/>
  <c r="A656" i="6"/>
  <c r="B656" i="6" s="1"/>
  <c r="A657" i="6"/>
  <c r="B657" i="6" s="1"/>
  <c r="A658" i="6"/>
  <c r="D658" i="6" s="1"/>
  <c r="A659" i="6"/>
  <c r="B659" i="6" s="1"/>
  <c r="A660" i="6"/>
  <c r="D660" i="6" s="1"/>
  <c r="A661" i="6"/>
  <c r="B661" i="6" s="1"/>
  <c r="A662" i="6"/>
  <c r="A663" i="6"/>
  <c r="B663" i="6" s="1"/>
  <c r="A664" i="6"/>
  <c r="B664" i="6" s="1"/>
  <c r="A665" i="6"/>
  <c r="B665" i="6" s="1"/>
  <c r="A666" i="6"/>
  <c r="B666" i="6" s="1"/>
  <c r="A667" i="6"/>
  <c r="D667" i="6" s="1"/>
  <c r="A668" i="6"/>
  <c r="B668" i="6" s="1"/>
  <c r="A669" i="6"/>
  <c r="D669" i="6" s="1"/>
  <c r="A670" i="6"/>
  <c r="B670" i="6" s="1"/>
  <c r="A671" i="6"/>
  <c r="B671" i="6" s="1"/>
  <c r="A672" i="6"/>
  <c r="A673" i="6"/>
  <c r="B673" i="6" s="1"/>
  <c r="A674" i="6"/>
  <c r="C674" i="6" s="1"/>
  <c r="A675" i="6"/>
  <c r="B675" i="6" s="1"/>
  <c r="A676" i="6"/>
  <c r="C676" i="6" s="1"/>
  <c r="A677" i="6"/>
  <c r="C677" i="6" s="1"/>
  <c r="A678" i="6"/>
  <c r="B678" i="6" s="1"/>
  <c r="A679" i="6"/>
  <c r="D679" i="6" s="1"/>
  <c r="A680" i="6"/>
  <c r="C680" i="6" s="1"/>
  <c r="A681" i="6"/>
  <c r="C681" i="6" s="1"/>
  <c r="A682" i="6"/>
  <c r="C682" i="6" s="1"/>
  <c r="A683" i="6"/>
  <c r="C683" i="6" s="1"/>
  <c r="A684" i="6"/>
  <c r="D684" i="6" s="1"/>
  <c r="A685" i="6"/>
  <c r="B685" i="6" s="1"/>
  <c r="A686" i="6"/>
  <c r="C686" i="6" s="1"/>
  <c r="A687" i="6"/>
  <c r="B687" i="6" s="1"/>
  <c r="A688" i="6"/>
  <c r="D688" i="6" s="1"/>
  <c r="A689" i="6"/>
  <c r="C689" i="6" s="1"/>
  <c r="A690" i="6"/>
  <c r="B690" i="6" s="1"/>
  <c r="A691" i="6"/>
  <c r="B691" i="6" s="1"/>
  <c r="A692" i="6"/>
  <c r="C692" i="6" s="1"/>
  <c r="A693" i="6"/>
  <c r="C693" i="6" s="1"/>
  <c r="A694" i="6"/>
  <c r="C694" i="6" s="1"/>
  <c r="A695" i="6"/>
  <c r="C695" i="6" s="1"/>
  <c r="A696" i="6"/>
  <c r="B696" i="6" s="1"/>
  <c r="A697" i="6"/>
  <c r="D697" i="6" s="1"/>
  <c r="A698" i="6"/>
  <c r="C698" i="6" s="1"/>
  <c r="A699" i="6"/>
  <c r="C699" i="6" s="1"/>
  <c r="A700" i="6"/>
  <c r="B700" i="6" s="1"/>
  <c r="A701" i="6"/>
  <c r="C701" i="6" s="1"/>
  <c r="A702" i="6"/>
  <c r="D702" i="6" s="1"/>
  <c r="A703" i="6"/>
  <c r="B703" i="6" s="1"/>
  <c r="A704" i="6"/>
  <c r="C704" i="6" s="1"/>
  <c r="A705" i="6"/>
  <c r="D705" i="6" s="1"/>
  <c r="A706" i="6"/>
  <c r="C706" i="6" s="1"/>
  <c r="A707" i="6"/>
  <c r="C707" i="6" s="1"/>
  <c r="A708" i="6"/>
  <c r="B708" i="6" s="1"/>
  <c r="A709" i="6"/>
  <c r="B709" i="6" s="1"/>
  <c r="A710" i="6"/>
  <c r="C710" i="6" s="1"/>
  <c r="A711" i="6"/>
  <c r="C711" i="6" s="1"/>
  <c r="A712" i="6"/>
  <c r="C712" i="6" s="1"/>
  <c r="A713" i="6"/>
  <c r="C713" i="6" s="1"/>
  <c r="A714" i="6"/>
  <c r="B714" i="6" s="1"/>
  <c r="A715" i="6"/>
  <c r="D715" i="6" s="1"/>
  <c r="A716" i="6"/>
  <c r="C716" i="6" s="1"/>
  <c r="A717" i="6"/>
  <c r="C717" i="6" s="1"/>
  <c r="A718" i="6"/>
  <c r="D718" i="6" s="1"/>
  <c r="A719" i="6"/>
  <c r="C719" i="6" s="1"/>
  <c r="A720" i="6"/>
  <c r="D720" i="6" s="1"/>
  <c r="A721" i="6"/>
  <c r="B721" i="6" s="1"/>
  <c r="A722" i="6"/>
  <c r="C722" i="6" s="1"/>
  <c r="A723" i="6"/>
  <c r="D723" i="6" s="1"/>
  <c r="A724" i="6"/>
  <c r="C724" i="6" s="1"/>
  <c r="A725" i="6"/>
  <c r="C725" i="6" s="1"/>
  <c r="A726" i="6"/>
  <c r="B726" i="6" s="1"/>
  <c r="A727" i="6"/>
  <c r="B727" i="6" s="1"/>
  <c r="A728" i="6"/>
  <c r="C728" i="6" s="1"/>
  <c r="A729" i="6"/>
  <c r="C729" i="6" s="1"/>
  <c r="A730" i="6"/>
  <c r="C730" i="6" s="1"/>
  <c r="A731" i="6"/>
  <c r="C731" i="6" s="1"/>
  <c r="A732" i="6"/>
  <c r="B732" i="6" s="1"/>
  <c r="A733" i="6"/>
  <c r="D733" i="6" s="1"/>
  <c r="A734" i="6"/>
  <c r="C734" i="6" s="1"/>
  <c r="A735" i="6"/>
  <c r="C735" i="6" s="1"/>
  <c r="A736" i="6"/>
  <c r="B736" i="6" s="1"/>
  <c r="A737" i="6"/>
  <c r="C737" i="6" s="1"/>
  <c r="A738" i="6"/>
  <c r="D738" i="6" s="1"/>
  <c r="A739" i="6"/>
  <c r="B739" i="6" s="1"/>
  <c r="A740" i="6"/>
  <c r="C740" i="6" s="1"/>
  <c r="A741" i="6"/>
  <c r="D741" i="6" s="1"/>
  <c r="A742" i="6"/>
  <c r="C742" i="6" s="1"/>
  <c r="A743" i="6"/>
  <c r="C743" i="6" s="1"/>
  <c r="A744" i="6"/>
  <c r="B744" i="6" s="1"/>
  <c r="A745" i="6"/>
  <c r="B745" i="6" s="1"/>
  <c r="A746" i="6"/>
  <c r="C746" i="6" s="1"/>
  <c r="A747" i="6"/>
  <c r="B747" i="6" s="1"/>
  <c r="A748" i="6"/>
  <c r="C748" i="6" s="1"/>
  <c r="A749" i="6"/>
  <c r="C749" i="6" s="1"/>
  <c r="A750" i="6"/>
  <c r="B750" i="6" s="1"/>
  <c r="A751" i="6"/>
  <c r="D751" i="6" s="1"/>
  <c r="A752" i="6"/>
  <c r="C752" i="6" s="1"/>
  <c r="A753" i="6"/>
  <c r="C753" i="6" s="1"/>
  <c r="A754" i="6"/>
  <c r="D754" i="6" s="1"/>
  <c r="A755" i="6"/>
  <c r="C755" i="6" s="1"/>
  <c r="A756" i="6"/>
  <c r="B756" i="6" s="1"/>
  <c r="A757" i="6"/>
  <c r="B757" i="6" s="1"/>
  <c r="A758" i="6"/>
  <c r="C758" i="6" s="1"/>
  <c r="A759" i="6"/>
  <c r="C759" i="6" s="1"/>
  <c r="A760" i="6"/>
  <c r="C760" i="6" s="1"/>
  <c r="A761" i="6"/>
  <c r="C761" i="6" s="1"/>
  <c r="A762" i="6"/>
  <c r="B762" i="6" s="1"/>
  <c r="A763" i="6"/>
  <c r="B763" i="6" s="1"/>
  <c r="A764" i="6"/>
  <c r="C764" i="6" s="1"/>
  <c r="A765" i="6"/>
  <c r="C765" i="6" s="1"/>
  <c r="A766" i="6"/>
  <c r="C766" i="6" s="1"/>
  <c r="A767" i="6"/>
  <c r="C767" i="6" s="1"/>
  <c r="A768" i="6"/>
  <c r="B768" i="6" s="1"/>
  <c r="A769" i="6"/>
  <c r="B769" i="6" s="1"/>
  <c r="A770" i="6"/>
  <c r="C770" i="6" s="1"/>
  <c r="A771" i="6"/>
  <c r="C771" i="6" s="1"/>
  <c r="A772" i="6"/>
  <c r="B772" i="6" s="1"/>
  <c r="A773" i="6"/>
  <c r="C773" i="6" s="1"/>
  <c r="A774" i="6"/>
  <c r="D774" i="6" s="1"/>
  <c r="A775" i="6"/>
  <c r="B775" i="6" s="1"/>
  <c r="A776" i="6"/>
  <c r="C776" i="6" s="1"/>
  <c r="A777" i="6"/>
  <c r="B777" i="6" s="1"/>
  <c r="B310" i="6" l="1"/>
  <c r="C310" i="6"/>
  <c r="B672" i="6"/>
  <c r="C672" i="6"/>
  <c r="B259" i="6"/>
  <c r="C259" i="6"/>
  <c r="B340" i="6"/>
  <c r="D340" i="6"/>
  <c r="B352" i="6"/>
  <c r="D352" i="6"/>
  <c r="D677" i="6"/>
  <c r="B677" i="6"/>
  <c r="B598" i="6"/>
  <c r="C502" i="6"/>
  <c r="D700" i="6"/>
  <c r="B595" i="6"/>
  <c r="D661" i="6"/>
  <c r="C332" i="6"/>
  <c r="B589" i="6"/>
  <c r="B562" i="6"/>
  <c r="C305" i="6"/>
  <c r="D749" i="6"/>
  <c r="B610" i="6"/>
  <c r="D277" i="6"/>
  <c r="B679" i="6"/>
  <c r="C323" i="6"/>
  <c r="C688" i="6"/>
  <c r="C721" i="6"/>
  <c r="C741" i="6"/>
  <c r="D642" i="6"/>
  <c r="B574" i="6"/>
  <c r="D726" i="6"/>
  <c r="D388" i="6"/>
  <c r="D263" i="6"/>
  <c r="C754" i="6"/>
  <c r="D734" i="6"/>
  <c r="B622" i="6"/>
  <c r="C523" i="6"/>
  <c r="D421" i="6"/>
  <c r="D301" i="6"/>
  <c r="C240" i="6"/>
  <c r="B651" i="6"/>
  <c r="C733" i="6"/>
  <c r="B760" i="6"/>
  <c r="D690" i="6"/>
  <c r="D453" i="6"/>
  <c r="C269" i="6"/>
  <c r="B759" i="6"/>
  <c r="B731" i="6"/>
  <c r="B636" i="6"/>
  <c r="D461" i="6"/>
  <c r="C404" i="6"/>
  <c r="D358" i="6"/>
  <c r="C296" i="6"/>
  <c r="C287" i="6"/>
  <c r="C550" i="6"/>
  <c r="D494" i="6"/>
  <c r="D314" i="6"/>
  <c r="D295" i="6"/>
  <c r="D275" i="6"/>
  <c r="C265" i="6"/>
  <c r="D777" i="6"/>
  <c r="C756" i="6"/>
  <c r="D747" i="6"/>
  <c r="B706" i="6"/>
  <c r="C634" i="6"/>
  <c r="D525" i="6"/>
  <c r="D469" i="6"/>
  <c r="C295" i="6"/>
  <c r="D58" i="5"/>
  <c r="B688" i="6"/>
  <c r="D543" i="6"/>
  <c r="C350" i="6"/>
  <c r="D280" i="6"/>
  <c r="D272" i="6"/>
  <c r="C501" i="6"/>
  <c r="C398" i="6"/>
  <c r="D379" i="6"/>
  <c r="C319" i="6"/>
  <c r="C280" i="6"/>
  <c r="D695" i="6"/>
  <c r="B741" i="6"/>
  <c r="D713" i="6"/>
  <c r="D703" i="6"/>
  <c r="C541" i="6"/>
  <c r="D492" i="6"/>
  <c r="D397" i="6"/>
  <c r="C368" i="6"/>
  <c r="D326" i="6"/>
  <c r="C301" i="6"/>
  <c r="B764" i="6"/>
  <c r="D731" i="6"/>
  <c r="C685" i="6"/>
  <c r="D588" i="6"/>
  <c r="C568" i="6"/>
  <c r="B507" i="6"/>
  <c r="B492" i="6"/>
  <c r="D481" i="6"/>
  <c r="D437" i="6"/>
  <c r="D316" i="6"/>
  <c r="C308" i="6"/>
  <c r="C293" i="6"/>
  <c r="B701" i="6"/>
  <c r="C684" i="6"/>
  <c r="B556" i="6"/>
  <c r="C547" i="6"/>
  <c r="D746" i="6"/>
  <c r="B684" i="6"/>
  <c r="C654" i="6"/>
  <c r="B586" i="6"/>
  <c r="B547" i="6"/>
  <c r="C413" i="6"/>
  <c r="D298" i="6"/>
  <c r="D292" i="6"/>
  <c r="D283" i="6"/>
  <c r="D259" i="6"/>
  <c r="D249" i="6"/>
  <c r="D770" i="6"/>
  <c r="D760" i="6"/>
  <c r="C718" i="6"/>
  <c r="C495" i="6"/>
  <c r="D744" i="6"/>
  <c r="C592" i="6"/>
  <c r="B553" i="6"/>
  <c r="D502" i="6"/>
  <c r="B495" i="6"/>
  <c r="C313" i="6"/>
  <c r="D296" i="6"/>
  <c r="C290" i="6"/>
  <c r="D281" i="6"/>
  <c r="D265" i="6"/>
  <c r="B754" i="6"/>
  <c r="B728" i="6"/>
  <c r="D721" i="6"/>
  <c r="B715" i="6"/>
  <c r="D685" i="6"/>
  <c r="B674" i="6"/>
  <c r="B658" i="6"/>
  <c r="D634" i="6"/>
  <c r="D628" i="6"/>
  <c r="B568" i="6"/>
  <c r="B511" i="6"/>
  <c r="D505" i="6"/>
  <c r="B499" i="6"/>
  <c r="B453" i="6"/>
  <c r="D406" i="6"/>
  <c r="C334" i="6"/>
  <c r="C326" i="6"/>
  <c r="C298" i="6"/>
  <c r="B770" i="6"/>
  <c r="D762" i="6"/>
  <c r="D757" i="6"/>
  <c r="B746" i="6"/>
  <c r="D706" i="6"/>
  <c r="B640" i="6"/>
  <c r="C574" i="6"/>
  <c r="C556" i="6"/>
  <c r="B550" i="6"/>
  <c r="B543" i="6"/>
  <c r="B535" i="6"/>
  <c r="B510" i="6"/>
  <c r="C461" i="6"/>
  <c r="D370" i="6"/>
  <c r="D317" i="6"/>
  <c r="D311" i="6"/>
  <c r="C292" i="6"/>
  <c r="D278" i="6"/>
  <c r="C272" i="6"/>
  <c r="D769" i="6"/>
  <c r="D756" i="6"/>
  <c r="B751" i="6"/>
  <c r="D739" i="6"/>
  <c r="B720" i="6"/>
  <c r="D663" i="6"/>
  <c r="B625" i="6"/>
  <c r="B616" i="6"/>
  <c r="B525" i="6"/>
  <c r="B517" i="6"/>
  <c r="C469" i="6"/>
  <c r="C421" i="6"/>
  <c r="D429" i="6"/>
  <c r="D775" i="6"/>
  <c r="C744" i="6"/>
  <c r="B724" i="6"/>
  <c r="B711" i="6"/>
  <c r="D670" i="6"/>
  <c r="B654" i="6"/>
  <c r="D645" i="6"/>
  <c r="B615" i="6"/>
  <c r="B607" i="6"/>
  <c r="B541" i="6"/>
  <c r="B532" i="6"/>
  <c r="B508" i="6"/>
  <c r="D477" i="6"/>
  <c r="B429" i="6"/>
  <c r="D376" i="6"/>
  <c r="D349" i="6"/>
  <c r="D262" i="6"/>
  <c r="B255" i="6"/>
  <c r="B766" i="6"/>
  <c r="B755" i="6"/>
  <c r="B749" i="6"/>
  <c r="B743" i="6"/>
  <c r="D736" i="6"/>
  <c r="C723" i="6"/>
  <c r="D710" i="6"/>
  <c r="B695" i="6"/>
  <c r="B682" i="6"/>
  <c r="D675" i="6"/>
  <c r="B669" i="6"/>
  <c r="D636" i="6"/>
  <c r="D630" i="6"/>
  <c r="B588" i="6"/>
  <c r="D579" i="6"/>
  <c r="B523" i="6"/>
  <c r="B514" i="6"/>
  <c r="D507" i="6"/>
  <c r="B501" i="6"/>
  <c r="C437" i="6"/>
  <c r="C328" i="6"/>
  <c r="C314" i="6"/>
  <c r="D299" i="6"/>
  <c r="C281" i="6"/>
  <c r="C275" i="6"/>
  <c r="D759" i="6"/>
  <c r="C736" i="6"/>
  <c r="B723" i="6"/>
  <c r="B717" i="6"/>
  <c r="B710" i="6"/>
  <c r="B702" i="6"/>
  <c r="C687" i="6"/>
  <c r="C675" i="6"/>
  <c r="C660" i="6"/>
  <c r="D652" i="6"/>
  <c r="D643" i="6"/>
  <c r="D552" i="6"/>
  <c r="D445" i="6"/>
  <c r="C299" i="6"/>
  <c r="D260" i="6"/>
  <c r="D772" i="6"/>
  <c r="B742" i="6"/>
  <c r="D729" i="6"/>
  <c r="B694" i="6"/>
  <c r="B681" i="6"/>
  <c r="B552" i="6"/>
  <c r="B529" i="6"/>
  <c r="C500" i="6"/>
  <c r="C445" i="6"/>
  <c r="C416" i="6"/>
  <c r="D319" i="6"/>
  <c r="D313" i="6"/>
  <c r="D293" i="6"/>
  <c r="D287" i="6"/>
  <c r="C274" i="6"/>
  <c r="C260" i="6"/>
  <c r="G28" i="3"/>
  <c r="H28" i="3" s="1"/>
  <c r="P28" i="3" s="1"/>
  <c r="H36" i="3"/>
  <c r="P36" i="3" s="1"/>
  <c r="M42" i="3"/>
  <c r="M34" i="3"/>
  <c r="M36" i="3"/>
  <c r="H34" i="3"/>
  <c r="P34" i="3" s="1"/>
  <c r="M40" i="3"/>
  <c r="H40" i="3"/>
  <c r="P40" i="3" s="1"/>
  <c r="M44" i="3"/>
  <c r="H32" i="3"/>
  <c r="P32" i="3" s="1"/>
  <c r="G26" i="3"/>
  <c r="H26" i="3" s="1"/>
  <c r="P26" i="3" s="1"/>
  <c r="H30" i="3"/>
  <c r="P30" i="3" s="1"/>
  <c r="H44" i="3"/>
  <c r="P44" i="3" s="1"/>
  <c r="M32" i="3"/>
  <c r="G38" i="3"/>
  <c r="H38" i="3" s="1"/>
  <c r="P38" i="3" s="1"/>
  <c r="M30" i="3"/>
  <c r="D724" i="6"/>
  <c r="C705" i="6"/>
  <c r="C700" i="6"/>
  <c r="C628" i="6"/>
  <c r="C601" i="6"/>
  <c r="D561" i="6"/>
  <c r="D491" i="6"/>
  <c r="D304" i="6"/>
  <c r="D289" i="6"/>
  <c r="D284" i="6"/>
  <c r="D765" i="6"/>
  <c r="B774" i="6"/>
  <c r="B765" i="6"/>
  <c r="B730" i="6"/>
  <c r="C720" i="6"/>
  <c r="B705" i="6"/>
  <c r="D674" i="6"/>
  <c r="B601" i="6"/>
  <c r="B580" i="6"/>
  <c r="B561" i="6"/>
  <c r="C535" i="6"/>
  <c r="C529" i="6"/>
  <c r="C517" i="6"/>
  <c r="C511" i="6"/>
  <c r="C491" i="6"/>
  <c r="D485" i="6"/>
  <c r="C341" i="6"/>
  <c r="D334" i="6"/>
  <c r="D328" i="6"/>
  <c r="D323" i="6"/>
  <c r="D308" i="6"/>
  <c r="C304" i="6"/>
  <c r="C289" i="6"/>
  <c r="C284" i="6"/>
  <c r="D274" i="6"/>
  <c r="D269" i="6"/>
  <c r="D240" i="6"/>
  <c r="D63" i="6"/>
  <c r="D708" i="6"/>
  <c r="C661" i="6"/>
  <c r="D649" i="6"/>
  <c r="C643" i="6"/>
  <c r="D490" i="6"/>
  <c r="D773" i="6"/>
  <c r="C769" i="6"/>
  <c r="B773" i="6"/>
  <c r="B734" i="6"/>
  <c r="B729" i="6"/>
  <c r="B719" i="6"/>
  <c r="B713" i="6"/>
  <c r="C708" i="6"/>
  <c r="D698" i="6"/>
  <c r="D693" i="6"/>
  <c r="C667" i="6"/>
  <c r="C649" i="6"/>
  <c r="C619" i="6"/>
  <c r="B613" i="6"/>
  <c r="B606" i="6"/>
  <c r="B592" i="6"/>
  <c r="B579" i="6"/>
  <c r="C565" i="6"/>
  <c r="C559" i="6"/>
  <c r="D534" i="6"/>
  <c r="D516" i="6"/>
  <c r="C490" i="6"/>
  <c r="D473" i="6"/>
  <c r="D465" i="6"/>
  <c r="D457" i="6"/>
  <c r="D449" i="6"/>
  <c r="D441" i="6"/>
  <c r="D433" i="6"/>
  <c r="D425" i="6"/>
  <c r="C377" i="6"/>
  <c r="D361" i="6"/>
  <c r="C340" i="6"/>
  <c r="D322" i="6"/>
  <c r="C317" i="6"/>
  <c r="D307" i="6"/>
  <c r="D302" i="6"/>
  <c r="C283" i="6"/>
  <c r="C278" i="6"/>
  <c r="D268" i="6"/>
  <c r="C263" i="6"/>
  <c r="B738" i="6"/>
  <c r="B698" i="6"/>
  <c r="B693" i="6"/>
  <c r="D687" i="6"/>
  <c r="B683" i="6"/>
  <c r="D672" i="6"/>
  <c r="B667" i="6"/>
  <c r="B619" i="6"/>
  <c r="B571" i="6"/>
  <c r="B565" i="6"/>
  <c r="B559" i="6"/>
  <c r="B534" i="6"/>
  <c r="B516" i="6"/>
  <c r="D500" i="6"/>
  <c r="C473" i="6"/>
  <c r="B465" i="6"/>
  <c r="C457" i="6"/>
  <c r="C449" i="6"/>
  <c r="B441" i="6"/>
  <c r="C433" i="6"/>
  <c r="C425" i="6"/>
  <c r="C322" i="6"/>
  <c r="C307" i="6"/>
  <c r="C302" i="6"/>
  <c r="C268" i="6"/>
  <c r="D69" i="6"/>
  <c r="D60" i="6"/>
  <c r="C777" i="6"/>
  <c r="C772" i="6"/>
  <c r="D767" i="6"/>
  <c r="C757" i="6"/>
  <c r="C747" i="6"/>
  <c r="D737" i="6"/>
  <c r="B733" i="6"/>
  <c r="B718" i="6"/>
  <c r="D711" i="6"/>
  <c r="B707" i="6"/>
  <c r="C697" i="6"/>
  <c r="B692" i="6"/>
  <c r="D682" i="6"/>
  <c r="B660" i="6"/>
  <c r="C642" i="6"/>
  <c r="B630" i="6"/>
  <c r="C583" i="6"/>
  <c r="B577" i="6"/>
  <c r="D570" i="6"/>
  <c r="C538" i="6"/>
  <c r="C526" i="6"/>
  <c r="C520" i="6"/>
  <c r="D503" i="6"/>
  <c r="D489" i="6"/>
  <c r="C316" i="6"/>
  <c r="C311" i="6"/>
  <c r="C277" i="6"/>
  <c r="C262" i="6"/>
  <c r="B767" i="6"/>
  <c r="B753" i="6"/>
  <c r="D742" i="6"/>
  <c r="B737" i="6"/>
  <c r="D701" i="6"/>
  <c r="B697" i="6"/>
  <c r="B624" i="6"/>
  <c r="C610" i="6"/>
  <c r="B604" i="6"/>
  <c r="B597" i="6"/>
  <c r="B583" i="6"/>
  <c r="B570" i="6"/>
  <c r="B544" i="6"/>
  <c r="B538" i="6"/>
  <c r="C532" i="6"/>
  <c r="B526" i="6"/>
  <c r="B520" i="6"/>
  <c r="C514" i="6"/>
  <c r="C508" i="6"/>
  <c r="C503" i="6"/>
  <c r="C499" i="6"/>
  <c r="C489" i="6"/>
  <c r="D415" i="6"/>
  <c r="C407" i="6"/>
  <c r="D367" i="6"/>
  <c r="C359" i="6"/>
  <c r="D343" i="6"/>
  <c r="D337" i="6"/>
  <c r="D331" i="6"/>
  <c r="D325" i="6"/>
  <c r="D320" i="6"/>
  <c r="D286" i="6"/>
  <c r="D271" i="6"/>
  <c r="D266" i="6"/>
  <c r="C343" i="6"/>
  <c r="C337" i="6"/>
  <c r="C331" i="6"/>
  <c r="C325" i="6"/>
  <c r="C320" i="6"/>
  <c r="D310" i="6"/>
  <c r="D305" i="6"/>
  <c r="D290" i="6"/>
  <c r="C286" i="6"/>
  <c r="C271" i="6"/>
  <c r="C266" i="6"/>
  <c r="D66" i="6"/>
  <c r="B478" i="6"/>
  <c r="C478" i="6"/>
  <c r="D478" i="6"/>
  <c r="C366" i="6"/>
  <c r="D366" i="6"/>
  <c r="B366" i="6"/>
  <c r="C774" i="6"/>
  <c r="B771" i="6"/>
  <c r="D764" i="6"/>
  <c r="B761" i="6"/>
  <c r="C751" i="6"/>
  <c r="B748" i="6"/>
  <c r="C738" i="6"/>
  <c r="B735" i="6"/>
  <c r="D728" i="6"/>
  <c r="B725" i="6"/>
  <c r="C715" i="6"/>
  <c r="B712" i="6"/>
  <c r="C702" i="6"/>
  <c r="B699" i="6"/>
  <c r="D692" i="6"/>
  <c r="B689" i="6"/>
  <c r="C679" i="6"/>
  <c r="B676" i="6"/>
  <c r="C669" i="6"/>
  <c r="C662" i="6"/>
  <c r="D662" i="6"/>
  <c r="C658" i="6"/>
  <c r="C651" i="6"/>
  <c r="C644" i="6"/>
  <c r="D644" i="6"/>
  <c r="C640" i="6"/>
  <c r="D624" i="6"/>
  <c r="C620" i="6"/>
  <c r="D620" i="6"/>
  <c r="D615" i="6"/>
  <c r="C611" i="6"/>
  <c r="D611" i="6"/>
  <c r="D606" i="6"/>
  <c r="C602" i="6"/>
  <c r="D602" i="6"/>
  <c r="D597" i="6"/>
  <c r="C593" i="6"/>
  <c r="D593" i="6"/>
  <c r="C584" i="6"/>
  <c r="D584" i="6"/>
  <c r="C575" i="6"/>
  <c r="D575" i="6"/>
  <c r="C566" i="6"/>
  <c r="D566" i="6"/>
  <c r="C557" i="6"/>
  <c r="D557" i="6"/>
  <c r="C548" i="6"/>
  <c r="D548" i="6"/>
  <c r="C539" i="6"/>
  <c r="D539" i="6"/>
  <c r="C530" i="6"/>
  <c r="D530" i="6"/>
  <c r="C521" i="6"/>
  <c r="D521" i="6"/>
  <c r="C512" i="6"/>
  <c r="D512" i="6"/>
  <c r="B498" i="6"/>
  <c r="C498" i="6"/>
  <c r="D498" i="6"/>
  <c r="B479" i="6"/>
  <c r="C479" i="6"/>
  <c r="D479" i="6"/>
  <c r="B470" i="6"/>
  <c r="C470" i="6"/>
  <c r="D470" i="6"/>
  <c r="C462" i="6"/>
  <c r="B462" i="6"/>
  <c r="D462" i="6"/>
  <c r="B454" i="6"/>
  <c r="C454" i="6"/>
  <c r="D454" i="6"/>
  <c r="B446" i="6"/>
  <c r="C446" i="6"/>
  <c r="D446" i="6"/>
  <c r="C438" i="6"/>
  <c r="B438" i="6"/>
  <c r="D438" i="6"/>
  <c r="B374" i="6"/>
  <c r="C374" i="6"/>
  <c r="D374" i="6"/>
  <c r="C276" i="6"/>
  <c r="D276" i="6"/>
  <c r="B276" i="6"/>
  <c r="C665" i="6"/>
  <c r="D665" i="6"/>
  <c r="C647" i="6"/>
  <c r="D647" i="6"/>
  <c r="C632" i="6"/>
  <c r="D632" i="6"/>
  <c r="B497" i="6"/>
  <c r="D497" i="6"/>
  <c r="B487" i="6"/>
  <c r="C487" i="6"/>
  <c r="D487" i="6"/>
  <c r="B365" i="6"/>
  <c r="C365" i="6"/>
  <c r="D365" i="6"/>
  <c r="C330" i="6"/>
  <c r="D330" i="6"/>
  <c r="B330" i="6"/>
  <c r="C285" i="6"/>
  <c r="D285" i="6"/>
  <c r="B285" i="6"/>
  <c r="D763" i="6"/>
  <c r="D727" i="6"/>
  <c r="D714" i="6"/>
  <c r="D691" i="6"/>
  <c r="D678" i="6"/>
  <c r="D664" i="6"/>
  <c r="D657" i="6"/>
  <c r="D646" i="6"/>
  <c r="D639" i="6"/>
  <c r="D631" i="6"/>
  <c r="B506" i="6"/>
  <c r="C506" i="6"/>
  <c r="D506" i="6"/>
  <c r="C486" i="6"/>
  <c r="B486" i="6"/>
  <c r="D486" i="6"/>
  <c r="C357" i="6"/>
  <c r="D357" i="6"/>
  <c r="B357" i="6"/>
  <c r="B329" i="6"/>
  <c r="C329" i="6"/>
  <c r="D329" i="6"/>
  <c r="D750" i="6"/>
  <c r="D776" i="6"/>
  <c r="D766" i="6"/>
  <c r="C763" i="6"/>
  <c r="D753" i="6"/>
  <c r="C750" i="6"/>
  <c r="D740" i="6"/>
  <c r="D730" i="6"/>
  <c r="C727" i="6"/>
  <c r="C714" i="6"/>
  <c r="D704" i="6"/>
  <c r="D694" i="6"/>
  <c r="C691" i="6"/>
  <c r="D681" i="6"/>
  <c r="C678" i="6"/>
  <c r="C668" i="6"/>
  <c r="D668" i="6"/>
  <c r="C664" i="6"/>
  <c r="C657" i="6"/>
  <c r="C650" i="6"/>
  <c r="D650" i="6"/>
  <c r="C646" i="6"/>
  <c r="C639" i="6"/>
  <c r="C631" i="6"/>
  <c r="D627" i="6"/>
  <c r="C623" i="6"/>
  <c r="D623" i="6"/>
  <c r="D618" i="6"/>
  <c r="C614" i="6"/>
  <c r="D614" i="6"/>
  <c r="D609" i="6"/>
  <c r="C605" i="6"/>
  <c r="D605" i="6"/>
  <c r="D600" i="6"/>
  <c r="C596" i="6"/>
  <c r="D596" i="6"/>
  <c r="D591" i="6"/>
  <c r="C587" i="6"/>
  <c r="D587" i="6"/>
  <c r="D582" i="6"/>
  <c r="C578" i="6"/>
  <c r="D578" i="6"/>
  <c r="D573" i="6"/>
  <c r="C569" i="6"/>
  <c r="D569" i="6"/>
  <c r="D564" i="6"/>
  <c r="C560" i="6"/>
  <c r="D560" i="6"/>
  <c r="D555" i="6"/>
  <c r="C551" i="6"/>
  <c r="D551" i="6"/>
  <c r="D546" i="6"/>
  <c r="C542" i="6"/>
  <c r="D542" i="6"/>
  <c r="D537" i="6"/>
  <c r="C533" i="6"/>
  <c r="D533" i="6"/>
  <c r="D528" i="6"/>
  <c r="C524" i="6"/>
  <c r="D524" i="6"/>
  <c r="D519" i="6"/>
  <c r="C515" i="6"/>
  <c r="D515" i="6"/>
  <c r="D510" i="6"/>
  <c r="C496" i="6"/>
  <c r="D496" i="6"/>
  <c r="B476" i="6"/>
  <c r="C476" i="6"/>
  <c r="D476" i="6"/>
  <c r="C468" i="6"/>
  <c r="B468" i="6"/>
  <c r="D468" i="6"/>
  <c r="B460" i="6"/>
  <c r="C460" i="6"/>
  <c r="D460" i="6"/>
  <c r="B452" i="6"/>
  <c r="C452" i="6"/>
  <c r="D452" i="6"/>
  <c r="C444" i="6"/>
  <c r="B444" i="6"/>
  <c r="D444" i="6"/>
  <c r="B436" i="6"/>
  <c r="C436" i="6"/>
  <c r="D436" i="6"/>
  <c r="B428" i="6"/>
  <c r="C428" i="6"/>
  <c r="D428" i="6"/>
  <c r="C420" i="6"/>
  <c r="B420" i="6"/>
  <c r="D420" i="6"/>
  <c r="B356" i="6"/>
  <c r="C356" i="6"/>
  <c r="D356" i="6"/>
  <c r="C294" i="6"/>
  <c r="D294" i="6"/>
  <c r="B294" i="6"/>
  <c r="D717" i="6"/>
  <c r="B776" i="6"/>
  <c r="D743" i="6"/>
  <c r="B740" i="6"/>
  <c r="D707" i="6"/>
  <c r="B704" i="6"/>
  <c r="C635" i="6"/>
  <c r="D635" i="6"/>
  <c r="B627" i="6"/>
  <c r="C622" i="6"/>
  <c r="B618" i="6"/>
  <c r="C613" i="6"/>
  <c r="B609" i="6"/>
  <c r="C604" i="6"/>
  <c r="B600" i="6"/>
  <c r="C595" i="6"/>
  <c r="B591" i="6"/>
  <c r="C586" i="6"/>
  <c r="B582" i="6"/>
  <c r="C577" i="6"/>
  <c r="B573" i="6"/>
  <c r="B564" i="6"/>
  <c r="B555" i="6"/>
  <c r="B546" i="6"/>
  <c r="B537" i="6"/>
  <c r="B528" i="6"/>
  <c r="B519" i="6"/>
  <c r="B475" i="6"/>
  <c r="C475" i="6"/>
  <c r="D475" i="6"/>
  <c r="B467" i="6"/>
  <c r="C467" i="6"/>
  <c r="D467" i="6"/>
  <c r="C459" i="6"/>
  <c r="B459" i="6"/>
  <c r="D459" i="6"/>
  <c r="B451" i="6"/>
  <c r="C451" i="6"/>
  <c r="D451" i="6"/>
  <c r="B443" i="6"/>
  <c r="C443" i="6"/>
  <c r="D443" i="6"/>
  <c r="C435" i="6"/>
  <c r="B435" i="6"/>
  <c r="D435" i="6"/>
  <c r="B427" i="6"/>
  <c r="C427" i="6"/>
  <c r="D427" i="6"/>
  <c r="B419" i="6"/>
  <c r="C419" i="6"/>
  <c r="D419" i="6"/>
  <c r="C348" i="6"/>
  <c r="D348" i="6"/>
  <c r="B348" i="6"/>
  <c r="C653" i="6"/>
  <c r="D653" i="6"/>
  <c r="B484" i="6"/>
  <c r="C484" i="6"/>
  <c r="D484" i="6"/>
  <c r="C474" i="6"/>
  <c r="B474" i="6"/>
  <c r="D474" i="6"/>
  <c r="B466" i="6"/>
  <c r="C466" i="6"/>
  <c r="D466" i="6"/>
  <c r="B458" i="6"/>
  <c r="C458" i="6"/>
  <c r="D458" i="6"/>
  <c r="C450" i="6"/>
  <c r="B450" i="6"/>
  <c r="D450" i="6"/>
  <c r="B442" i="6"/>
  <c r="C442" i="6"/>
  <c r="D442" i="6"/>
  <c r="B434" i="6"/>
  <c r="C434" i="6"/>
  <c r="D434" i="6"/>
  <c r="C411" i="6"/>
  <c r="D411" i="6"/>
  <c r="B411" i="6"/>
  <c r="B347" i="6"/>
  <c r="C347" i="6"/>
  <c r="D347" i="6"/>
  <c r="C303" i="6"/>
  <c r="D303" i="6"/>
  <c r="B303" i="6"/>
  <c r="C671" i="6"/>
  <c r="D671" i="6"/>
  <c r="D504" i="6"/>
  <c r="B504" i="6"/>
  <c r="C483" i="6"/>
  <c r="B483" i="6"/>
  <c r="D483" i="6"/>
  <c r="B410" i="6"/>
  <c r="C410" i="6"/>
  <c r="D410" i="6"/>
  <c r="B488" i="6"/>
  <c r="C488" i="6"/>
  <c r="D488" i="6"/>
  <c r="C775" i="6"/>
  <c r="C690" i="6"/>
  <c r="D680" i="6"/>
  <c r="C656" i="6"/>
  <c r="D656" i="6"/>
  <c r="C652" i="6"/>
  <c r="C645" i="6"/>
  <c r="C638" i="6"/>
  <c r="D638" i="6"/>
  <c r="C626" i="6"/>
  <c r="D626" i="6"/>
  <c r="D621" i="6"/>
  <c r="C617" i="6"/>
  <c r="D617" i="6"/>
  <c r="D612" i="6"/>
  <c r="C608" i="6"/>
  <c r="D608" i="6"/>
  <c r="D603" i="6"/>
  <c r="C599" i="6"/>
  <c r="D599" i="6"/>
  <c r="D594" i="6"/>
  <c r="C590" i="6"/>
  <c r="D590" i="6"/>
  <c r="D585" i="6"/>
  <c r="C581" i="6"/>
  <c r="D581" i="6"/>
  <c r="D576" i="6"/>
  <c r="C572" i="6"/>
  <c r="D572" i="6"/>
  <c r="D567" i="6"/>
  <c r="C563" i="6"/>
  <c r="D563" i="6"/>
  <c r="D558" i="6"/>
  <c r="C554" i="6"/>
  <c r="D554" i="6"/>
  <c r="D549" i="6"/>
  <c r="C545" i="6"/>
  <c r="D545" i="6"/>
  <c r="D540" i="6"/>
  <c r="C536" i="6"/>
  <c r="D536" i="6"/>
  <c r="D531" i="6"/>
  <c r="C527" i="6"/>
  <c r="D527" i="6"/>
  <c r="D522" i="6"/>
  <c r="C518" i="6"/>
  <c r="D518" i="6"/>
  <c r="D513" i="6"/>
  <c r="C509" i="6"/>
  <c r="D509" i="6"/>
  <c r="B482" i="6"/>
  <c r="C482" i="6"/>
  <c r="D482" i="6"/>
  <c r="C402" i="6"/>
  <c r="D402" i="6"/>
  <c r="B402" i="6"/>
  <c r="C312" i="6"/>
  <c r="D312" i="6"/>
  <c r="B312" i="6"/>
  <c r="C258" i="6"/>
  <c r="D258" i="6"/>
  <c r="B258" i="6"/>
  <c r="C762" i="6"/>
  <c r="D752" i="6"/>
  <c r="C739" i="6"/>
  <c r="C726" i="6"/>
  <c r="D716" i="6"/>
  <c r="C703" i="6"/>
  <c r="C670" i="6"/>
  <c r="C663" i="6"/>
  <c r="D768" i="6"/>
  <c r="D755" i="6"/>
  <c r="B752" i="6"/>
  <c r="D745" i="6"/>
  <c r="D732" i="6"/>
  <c r="D719" i="6"/>
  <c r="B716" i="6"/>
  <c r="D709" i="6"/>
  <c r="D696" i="6"/>
  <c r="D683" i="6"/>
  <c r="B680" i="6"/>
  <c r="D673" i="6"/>
  <c r="D666" i="6"/>
  <c r="D655" i="6"/>
  <c r="D648" i="6"/>
  <c r="D637" i="6"/>
  <c r="C625" i="6"/>
  <c r="B621" i="6"/>
  <c r="C616" i="6"/>
  <c r="B612" i="6"/>
  <c r="C607" i="6"/>
  <c r="B603" i="6"/>
  <c r="C598" i="6"/>
  <c r="B594" i="6"/>
  <c r="C589" i="6"/>
  <c r="B585" i="6"/>
  <c r="C580" i="6"/>
  <c r="B576" i="6"/>
  <c r="C571" i="6"/>
  <c r="B567" i="6"/>
  <c r="C562" i="6"/>
  <c r="B558" i="6"/>
  <c r="C553" i="6"/>
  <c r="B549" i="6"/>
  <c r="C544" i="6"/>
  <c r="B540" i="6"/>
  <c r="B531" i="6"/>
  <c r="B522" i="6"/>
  <c r="B513" i="6"/>
  <c r="B401" i="6"/>
  <c r="C401" i="6"/>
  <c r="D401" i="6"/>
  <c r="C393" i="6"/>
  <c r="D393" i="6"/>
  <c r="B393" i="6"/>
  <c r="C384" i="6"/>
  <c r="D384" i="6"/>
  <c r="B384" i="6"/>
  <c r="C339" i="6"/>
  <c r="D339" i="6"/>
  <c r="B339" i="6"/>
  <c r="D771" i="6"/>
  <c r="C768" i="6"/>
  <c r="C745" i="6"/>
  <c r="C709" i="6"/>
  <c r="D699" i="6"/>
  <c r="C696" i="6"/>
  <c r="D676" i="6"/>
  <c r="C673" i="6"/>
  <c r="C666" i="6"/>
  <c r="C659" i="6"/>
  <c r="D659" i="6"/>
  <c r="C655" i="6"/>
  <c r="C648" i="6"/>
  <c r="C641" i="6"/>
  <c r="D641" i="6"/>
  <c r="C637" i="6"/>
  <c r="D633" i="6"/>
  <c r="B472" i="6"/>
  <c r="C472" i="6"/>
  <c r="D472" i="6"/>
  <c r="B464" i="6"/>
  <c r="C464" i="6"/>
  <c r="D464" i="6"/>
  <c r="C456" i="6"/>
  <c r="B456" i="6"/>
  <c r="D456" i="6"/>
  <c r="B448" i="6"/>
  <c r="C448" i="6"/>
  <c r="D448" i="6"/>
  <c r="B440" i="6"/>
  <c r="C440" i="6"/>
  <c r="D440" i="6"/>
  <c r="C432" i="6"/>
  <c r="B432" i="6"/>
  <c r="D432" i="6"/>
  <c r="B424" i="6"/>
  <c r="C424" i="6"/>
  <c r="D424" i="6"/>
  <c r="B392" i="6"/>
  <c r="C392" i="6"/>
  <c r="D392" i="6"/>
  <c r="B383" i="6"/>
  <c r="C383" i="6"/>
  <c r="D383" i="6"/>
  <c r="B338" i="6"/>
  <c r="C338" i="6"/>
  <c r="D338" i="6"/>
  <c r="C321" i="6"/>
  <c r="D321" i="6"/>
  <c r="B321" i="6"/>
  <c r="C267" i="6"/>
  <c r="D267" i="6"/>
  <c r="B267" i="6"/>
  <c r="D758" i="6"/>
  <c r="D748" i="6"/>
  <c r="D735" i="6"/>
  <c r="C732" i="6"/>
  <c r="D722" i="6"/>
  <c r="D712" i="6"/>
  <c r="D686" i="6"/>
  <c r="D761" i="6"/>
  <c r="B758" i="6"/>
  <c r="D725" i="6"/>
  <c r="B722" i="6"/>
  <c r="D689" i="6"/>
  <c r="B686" i="6"/>
  <c r="B662" i="6"/>
  <c r="B644" i="6"/>
  <c r="B633" i="6"/>
  <c r="C629" i="6"/>
  <c r="D629" i="6"/>
  <c r="B620" i="6"/>
  <c r="B611" i="6"/>
  <c r="B602" i="6"/>
  <c r="B593" i="6"/>
  <c r="B584" i="6"/>
  <c r="B575" i="6"/>
  <c r="B566" i="6"/>
  <c r="B557" i="6"/>
  <c r="B548" i="6"/>
  <c r="B539" i="6"/>
  <c r="B530" i="6"/>
  <c r="B521" i="6"/>
  <c r="B512" i="6"/>
  <c r="B493" i="6"/>
  <c r="C493" i="6"/>
  <c r="C480" i="6"/>
  <c r="B480" i="6"/>
  <c r="D480" i="6"/>
  <c r="C471" i="6"/>
  <c r="B471" i="6"/>
  <c r="D471" i="6"/>
  <c r="B463" i="6"/>
  <c r="C463" i="6"/>
  <c r="D463" i="6"/>
  <c r="B455" i="6"/>
  <c r="C455" i="6"/>
  <c r="D455" i="6"/>
  <c r="C447" i="6"/>
  <c r="B447" i="6"/>
  <c r="D447" i="6"/>
  <c r="B439" i="6"/>
  <c r="C439" i="6"/>
  <c r="D439" i="6"/>
  <c r="B431" i="6"/>
  <c r="C431" i="6"/>
  <c r="D431" i="6"/>
  <c r="C423" i="6"/>
  <c r="B423" i="6"/>
  <c r="D423" i="6"/>
  <c r="C375" i="6"/>
  <c r="D375" i="6"/>
  <c r="B375" i="6"/>
  <c r="C494" i="6"/>
  <c r="C415" i="6"/>
  <c r="C406" i="6"/>
  <c r="C397" i="6"/>
  <c r="C388" i="6"/>
  <c r="C379" i="6"/>
  <c r="C370" i="6"/>
  <c r="C361" i="6"/>
  <c r="C352" i="6"/>
  <c r="B228" i="6"/>
  <c r="C228" i="6"/>
  <c r="B174" i="6"/>
  <c r="C174" i="6"/>
  <c r="B102" i="6"/>
  <c r="C102" i="6"/>
  <c r="B93" i="6"/>
  <c r="C93" i="6"/>
  <c r="B84" i="6"/>
  <c r="C84" i="6"/>
  <c r="B75" i="6"/>
  <c r="C75" i="6"/>
  <c r="B256" i="6"/>
  <c r="C256" i="6"/>
  <c r="D256" i="6"/>
  <c r="B111" i="6"/>
  <c r="C111" i="6"/>
  <c r="B237" i="6"/>
  <c r="D237" i="6"/>
  <c r="B183" i="6"/>
  <c r="C183" i="6"/>
  <c r="B120" i="6"/>
  <c r="C120" i="6"/>
  <c r="D430" i="6"/>
  <c r="D426" i="6"/>
  <c r="D422" i="6"/>
  <c r="D418" i="6"/>
  <c r="C414" i="6"/>
  <c r="D414" i="6"/>
  <c r="D409" i="6"/>
  <c r="C405" i="6"/>
  <c r="D405" i="6"/>
  <c r="D400" i="6"/>
  <c r="C396" i="6"/>
  <c r="D396" i="6"/>
  <c r="D391" i="6"/>
  <c r="C387" i="6"/>
  <c r="D387" i="6"/>
  <c r="D382" i="6"/>
  <c r="C378" i="6"/>
  <c r="D378" i="6"/>
  <c r="D373" i="6"/>
  <c r="C369" i="6"/>
  <c r="D369" i="6"/>
  <c r="D364" i="6"/>
  <c r="C360" i="6"/>
  <c r="D360" i="6"/>
  <c r="D355" i="6"/>
  <c r="C351" i="6"/>
  <c r="D351" i="6"/>
  <c r="D346" i="6"/>
  <c r="C342" i="6"/>
  <c r="D342" i="6"/>
  <c r="C333" i="6"/>
  <c r="D333" i="6"/>
  <c r="C324" i="6"/>
  <c r="D324" i="6"/>
  <c r="C315" i="6"/>
  <c r="D315" i="6"/>
  <c r="C306" i="6"/>
  <c r="D306" i="6"/>
  <c r="C297" i="6"/>
  <c r="D297" i="6"/>
  <c r="C288" i="6"/>
  <c r="D288" i="6"/>
  <c r="C279" i="6"/>
  <c r="D279" i="6"/>
  <c r="C270" i="6"/>
  <c r="D270" i="6"/>
  <c r="C261" i="6"/>
  <c r="D261" i="6"/>
  <c r="B244" i="6"/>
  <c r="C244" i="6"/>
  <c r="D244" i="6"/>
  <c r="B129" i="6"/>
  <c r="C129" i="6"/>
  <c r="C430" i="6"/>
  <c r="B426" i="6"/>
  <c r="C422" i="6"/>
  <c r="C418" i="6"/>
  <c r="D413" i="6"/>
  <c r="C409" i="6"/>
  <c r="D404" i="6"/>
  <c r="C400" i="6"/>
  <c r="D395" i="6"/>
  <c r="C391" i="6"/>
  <c r="D386" i="6"/>
  <c r="C382" i="6"/>
  <c r="D377" i="6"/>
  <c r="C373" i="6"/>
  <c r="D368" i="6"/>
  <c r="C364" i="6"/>
  <c r="D359" i="6"/>
  <c r="C355" i="6"/>
  <c r="D350" i="6"/>
  <c r="C346" i="6"/>
  <c r="D341" i="6"/>
  <c r="D332" i="6"/>
  <c r="B192" i="6"/>
  <c r="C192" i="6"/>
  <c r="B138" i="6"/>
  <c r="C138" i="6"/>
  <c r="C395" i="6"/>
  <c r="C386" i="6"/>
  <c r="B243" i="6"/>
  <c r="C243" i="6"/>
  <c r="B252" i="6"/>
  <c r="C252" i="6"/>
  <c r="D252" i="6"/>
  <c r="B201" i="6"/>
  <c r="C201" i="6"/>
  <c r="B147" i="6"/>
  <c r="C147" i="6"/>
  <c r="C505" i="6"/>
  <c r="C485" i="6"/>
  <c r="C481" i="6"/>
  <c r="B477" i="6"/>
  <c r="C417" i="6"/>
  <c r="D417" i="6"/>
  <c r="D412" i="6"/>
  <c r="C408" i="6"/>
  <c r="D408" i="6"/>
  <c r="D403" i="6"/>
  <c r="C399" i="6"/>
  <c r="D399" i="6"/>
  <c r="D394" i="6"/>
  <c r="C390" i="6"/>
  <c r="D390" i="6"/>
  <c r="D385" i="6"/>
  <c r="C381" i="6"/>
  <c r="D381" i="6"/>
  <c r="C372" i="6"/>
  <c r="D372" i="6"/>
  <c r="C363" i="6"/>
  <c r="D363" i="6"/>
  <c r="C354" i="6"/>
  <c r="D354" i="6"/>
  <c r="C345" i="6"/>
  <c r="D345" i="6"/>
  <c r="C336" i="6"/>
  <c r="D336" i="6"/>
  <c r="C327" i="6"/>
  <c r="D327" i="6"/>
  <c r="C318" i="6"/>
  <c r="D318" i="6"/>
  <c r="C309" i="6"/>
  <c r="D309" i="6"/>
  <c r="C300" i="6"/>
  <c r="D300" i="6"/>
  <c r="C291" i="6"/>
  <c r="D291" i="6"/>
  <c r="C282" i="6"/>
  <c r="D282" i="6"/>
  <c r="C273" i="6"/>
  <c r="D273" i="6"/>
  <c r="C264" i="6"/>
  <c r="D264" i="6"/>
  <c r="B251" i="6"/>
  <c r="C251" i="6"/>
  <c r="D251" i="6"/>
  <c r="D416" i="6"/>
  <c r="C412" i="6"/>
  <c r="D407" i="6"/>
  <c r="C403" i="6"/>
  <c r="D398" i="6"/>
  <c r="C394" i="6"/>
  <c r="D389" i="6"/>
  <c r="C385" i="6"/>
  <c r="D380" i="6"/>
  <c r="C376" i="6"/>
  <c r="D371" i="6"/>
  <c r="C367" i="6"/>
  <c r="D362" i="6"/>
  <c r="C358" i="6"/>
  <c r="D353" i="6"/>
  <c r="C349" i="6"/>
  <c r="D344" i="6"/>
  <c r="D335" i="6"/>
  <c r="B210" i="6"/>
  <c r="C210" i="6"/>
  <c r="B156" i="6"/>
  <c r="C156" i="6"/>
  <c r="C389" i="6"/>
  <c r="C380" i="6"/>
  <c r="C371" i="6"/>
  <c r="C362" i="6"/>
  <c r="C353" i="6"/>
  <c r="C344" i="6"/>
  <c r="C335" i="6"/>
  <c r="B219" i="6"/>
  <c r="C219" i="6"/>
  <c r="B165" i="6"/>
  <c r="C165" i="6"/>
  <c r="B257" i="6"/>
  <c r="C257" i="6"/>
  <c r="D257" i="6"/>
  <c r="B250" i="6"/>
  <c r="C250" i="6"/>
  <c r="D250" i="6"/>
  <c r="B236" i="6"/>
  <c r="C236" i="6"/>
  <c r="D236" i="6"/>
  <c r="B227" i="6"/>
  <c r="C227" i="6"/>
  <c r="D227" i="6"/>
  <c r="B218" i="6"/>
  <c r="C218" i="6"/>
  <c r="D218" i="6"/>
  <c r="B209" i="6"/>
  <c r="C209" i="6"/>
  <c r="D209" i="6"/>
  <c r="B200" i="6"/>
  <c r="C200" i="6"/>
  <c r="D200" i="6"/>
  <c r="B191" i="6"/>
  <c r="C191" i="6"/>
  <c r="D191" i="6"/>
  <c r="B182" i="6"/>
  <c r="C182" i="6"/>
  <c r="D182" i="6"/>
  <c r="B173" i="6"/>
  <c r="C173" i="6"/>
  <c r="D173" i="6"/>
  <c r="B164" i="6"/>
  <c r="C164" i="6"/>
  <c r="D164" i="6"/>
  <c r="B155" i="6"/>
  <c r="C155" i="6"/>
  <c r="D155" i="6"/>
  <c r="B146" i="6"/>
  <c r="C146" i="6"/>
  <c r="D146" i="6"/>
  <c r="B137" i="6"/>
  <c r="C137" i="6"/>
  <c r="D137" i="6"/>
  <c r="B128" i="6"/>
  <c r="C128" i="6"/>
  <c r="D128" i="6"/>
  <c r="B119" i="6"/>
  <c r="C119" i="6"/>
  <c r="D119" i="6"/>
  <c r="B110" i="6"/>
  <c r="C110" i="6"/>
  <c r="D110" i="6"/>
  <c r="B101" i="6"/>
  <c r="C101" i="6"/>
  <c r="D101" i="6"/>
  <c r="B92" i="6"/>
  <c r="C92" i="6"/>
  <c r="D92" i="6"/>
  <c r="B83" i="6"/>
  <c r="C83" i="6"/>
  <c r="D83" i="6"/>
  <c r="B235" i="6"/>
  <c r="C235" i="6"/>
  <c r="D235" i="6"/>
  <c r="B226" i="6"/>
  <c r="C226" i="6"/>
  <c r="D226" i="6"/>
  <c r="B217" i="6"/>
  <c r="C217" i="6"/>
  <c r="D217" i="6"/>
  <c r="B208" i="6"/>
  <c r="C208" i="6"/>
  <c r="D208" i="6"/>
  <c r="B199" i="6"/>
  <c r="C199" i="6"/>
  <c r="D199" i="6"/>
  <c r="B190" i="6"/>
  <c r="C190" i="6"/>
  <c r="D190" i="6"/>
  <c r="B181" i="6"/>
  <c r="C181" i="6"/>
  <c r="D181" i="6"/>
  <c r="B172" i="6"/>
  <c r="C172" i="6"/>
  <c r="D172" i="6"/>
  <c r="B163" i="6"/>
  <c r="C163" i="6"/>
  <c r="D163" i="6"/>
  <c r="B154" i="6"/>
  <c r="C154" i="6"/>
  <c r="D154" i="6"/>
  <c r="B145" i="6"/>
  <c r="C145" i="6"/>
  <c r="D145" i="6"/>
  <c r="B136" i="6"/>
  <c r="C136" i="6"/>
  <c r="D136" i="6"/>
  <c r="B127" i="6"/>
  <c r="C127" i="6"/>
  <c r="D127" i="6"/>
  <c r="B118" i="6"/>
  <c r="C118" i="6"/>
  <c r="D118" i="6"/>
  <c r="B109" i="6"/>
  <c r="C109" i="6"/>
  <c r="D109" i="6"/>
  <c r="B100" i="6"/>
  <c r="C100" i="6"/>
  <c r="D100" i="6"/>
  <c r="B91" i="6"/>
  <c r="C91" i="6"/>
  <c r="D91" i="6"/>
  <c r="B82" i="6"/>
  <c r="C82" i="6"/>
  <c r="D82" i="6"/>
  <c r="D255" i="6"/>
  <c r="C249" i="6"/>
  <c r="B242" i="6"/>
  <c r="C242" i="6"/>
  <c r="D242" i="6"/>
  <c r="B241" i="6"/>
  <c r="C241" i="6"/>
  <c r="D241" i="6"/>
  <c r="B234" i="6"/>
  <c r="C234" i="6"/>
  <c r="B225" i="6"/>
  <c r="C225" i="6"/>
  <c r="B216" i="6"/>
  <c r="C216" i="6"/>
  <c r="B207" i="6"/>
  <c r="C207" i="6"/>
  <c r="B198" i="6"/>
  <c r="C198" i="6"/>
  <c r="B189" i="6"/>
  <c r="C189" i="6"/>
  <c r="B180" i="6"/>
  <c r="C180" i="6"/>
  <c r="B171" i="6"/>
  <c r="C171" i="6"/>
  <c r="B162" i="6"/>
  <c r="C162" i="6"/>
  <c r="B153" i="6"/>
  <c r="C153" i="6"/>
  <c r="B144" i="6"/>
  <c r="C144" i="6"/>
  <c r="B135" i="6"/>
  <c r="C135" i="6"/>
  <c r="B126" i="6"/>
  <c r="C126" i="6"/>
  <c r="B117" i="6"/>
  <c r="C117" i="6"/>
  <c r="B108" i="6"/>
  <c r="C108" i="6"/>
  <c r="B99" i="6"/>
  <c r="C99" i="6"/>
  <c r="B90" i="6"/>
  <c r="C90" i="6"/>
  <c r="B81" i="6"/>
  <c r="C81" i="6"/>
  <c r="B72" i="6"/>
  <c r="C72" i="6"/>
  <c r="B248" i="6"/>
  <c r="C248" i="6"/>
  <c r="D248" i="6"/>
  <c r="B233" i="6"/>
  <c r="C233" i="6"/>
  <c r="D233" i="6"/>
  <c r="B224" i="6"/>
  <c r="C224" i="6"/>
  <c r="D224" i="6"/>
  <c r="B215" i="6"/>
  <c r="C215" i="6"/>
  <c r="D215" i="6"/>
  <c r="B206" i="6"/>
  <c r="C206" i="6"/>
  <c r="D206" i="6"/>
  <c r="B197" i="6"/>
  <c r="C197" i="6"/>
  <c r="D197" i="6"/>
  <c r="B188" i="6"/>
  <c r="C188" i="6"/>
  <c r="D188" i="6"/>
  <c r="B179" i="6"/>
  <c r="C179" i="6"/>
  <c r="D179" i="6"/>
  <c r="B170" i="6"/>
  <c r="C170" i="6"/>
  <c r="D170" i="6"/>
  <c r="B161" i="6"/>
  <c r="C161" i="6"/>
  <c r="D161" i="6"/>
  <c r="B152" i="6"/>
  <c r="C152" i="6"/>
  <c r="D152" i="6"/>
  <c r="B143" i="6"/>
  <c r="C143" i="6"/>
  <c r="D143" i="6"/>
  <c r="B134" i="6"/>
  <c r="C134" i="6"/>
  <c r="D134" i="6"/>
  <c r="B125" i="6"/>
  <c r="C125" i="6"/>
  <c r="D125" i="6"/>
  <c r="B116" i="6"/>
  <c r="C116" i="6"/>
  <c r="D116" i="6"/>
  <c r="B107" i="6"/>
  <c r="C107" i="6"/>
  <c r="D107" i="6"/>
  <c r="B98" i="6"/>
  <c r="C98" i="6"/>
  <c r="D98" i="6"/>
  <c r="B89" i="6"/>
  <c r="C89" i="6"/>
  <c r="D89" i="6"/>
  <c r="B247" i="6"/>
  <c r="C247" i="6"/>
  <c r="D247" i="6"/>
  <c r="B232" i="6"/>
  <c r="C232" i="6"/>
  <c r="D232" i="6"/>
  <c r="B223" i="6"/>
  <c r="C223" i="6"/>
  <c r="D223" i="6"/>
  <c r="B214" i="6"/>
  <c r="C214" i="6"/>
  <c r="D214" i="6"/>
  <c r="B205" i="6"/>
  <c r="C205" i="6"/>
  <c r="D205" i="6"/>
  <c r="B196" i="6"/>
  <c r="C196" i="6"/>
  <c r="D196" i="6"/>
  <c r="B187" i="6"/>
  <c r="C187" i="6"/>
  <c r="D187" i="6"/>
  <c r="B178" i="6"/>
  <c r="C178" i="6"/>
  <c r="D178" i="6"/>
  <c r="B169" i="6"/>
  <c r="C169" i="6"/>
  <c r="D169" i="6"/>
  <c r="B160" i="6"/>
  <c r="C160" i="6"/>
  <c r="D160" i="6"/>
  <c r="B151" i="6"/>
  <c r="C151" i="6"/>
  <c r="D151" i="6"/>
  <c r="B142" i="6"/>
  <c r="C142" i="6"/>
  <c r="D142" i="6"/>
  <c r="B133" i="6"/>
  <c r="C133" i="6"/>
  <c r="D133" i="6"/>
  <c r="B124" i="6"/>
  <c r="C124" i="6"/>
  <c r="D124" i="6"/>
  <c r="B115" i="6"/>
  <c r="C115" i="6"/>
  <c r="D115" i="6"/>
  <c r="B106" i="6"/>
  <c r="C106" i="6"/>
  <c r="D106" i="6"/>
  <c r="B97" i="6"/>
  <c r="C97" i="6"/>
  <c r="D97" i="6"/>
  <c r="B88" i="6"/>
  <c r="C88" i="6"/>
  <c r="D88" i="6"/>
  <c r="B254" i="6"/>
  <c r="C254" i="6"/>
  <c r="D254" i="6"/>
  <c r="D246" i="6"/>
  <c r="B253" i="6"/>
  <c r="C253" i="6"/>
  <c r="D253" i="6"/>
  <c r="C246" i="6"/>
  <c r="B239" i="6"/>
  <c r="C239" i="6"/>
  <c r="D239" i="6"/>
  <c r="B231" i="6"/>
  <c r="C231" i="6"/>
  <c r="B222" i="6"/>
  <c r="C222" i="6"/>
  <c r="B213" i="6"/>
  <c r="C213" i="6"/>
  <c r="B204" i="6"/>
  <c r="C204" i="6"/>
  <c r="B195" i="6"/>
  <c r="C195" i="6"/>
  <c r="B186" i="6"/>
  <c r="C186" i="6"/>
  <c r="B177" i="6"/>
  <c r="C177" i="6"/>
  <c r="B168" i="6"/>
  <c r="C168" i="6"/>
  <c r="B159" i="6"/>
  <c r="C159" i="6"/>
  <c r="B150" i="6"/>
  <c r="C150" i="6"/>
  <c r="B141" i="6"/>
  <c r="C141" i="6"/>
  <c r="B132" i="6"/>
  <c r="C132" i="6"/>
  <c r="B123" i="6"/>
  <c r="C123" i="6"/>
  <c r="B114" i="6"/>
  <c r="C114" i="6"/>
  <c r="B105" i="6"/>
  <c r="C105" i="6"/>
  <c r="B96" i="6"/>
  <c r="C96" i="6"/>
  <c r="B87" i="6"/>
  <c r="C87" i="6"/>
  <c r="B78" i="6"/>
  <c r="C78" i="6"/>
  <c r="B238" i="6"/>
  <c r="C238" i="6"/>
  <c r="D238" i="6"/>
  <c r="B230" i="6"/>
  <c r="C230" i="6"/>
  <c r="D230" i="6"/>
  <c r="B221" i="6"/>
  <c r="C221" i="6"/>
  <c r="D221" i="6"/>
  <c r="B212" i="6"/>
  <c r="C212" i="6"/>
  <c r="D212" i="6"/>
  <c r="B203" i="6"/>
  <c r="C203" i="6"/>
  <c r="D203" i="6"/>
  <c r="B194" i="6"/>
  <c r="C194" i="6"/>
  <c r="D194" i="6"/>
  <c r="B185" i="6"/>
  <c r="C185" i="6"/>
  <c r="D185" i="6"/>
  <c r="B176" i="6"/>
  <c r="C176" i="6"/>
  <c r="D176" i="6"/>
  <c r="B167" i="6"/>
  <c r="C167" i="6"/>
  <c r="D167" i="6"/>
  <c r="B158" i="6"/>
  <c r="C158" i="6"/>
  <c r="D158" i="6"/>
  <c r="B149" i="6"/>
  <c r="C149" i="6"/>
  <c r="D149" i="6"/>
  <c r="B140" i="6"/>
  <c r="C140" i="6"/>
  <c r="D140" i="6"/>
  <c r="B131" i="6"/>
  <c r="C131" i="6"/>
  <c r="D131" i="6"/>
  <c r="B122" i="6"/>
  <c r="C122" i="6"/>
  <c r="D122" i="6"/>
  <c r="B113" i="6"/>
  <c r="C113" i="6"/>
  <c r="D113" i="6"/>
  <c r="B104" i="6"/>
  <c r="C104" i="6"/>
  <c r="D104" i="6"/>
  <c r="B95" i="6"/>
  <c r="C95" i="6"/>
  <c r="D95" i="6"/>
  <c r="B86" i="6"/>
  <c r="C86" i="6"/>
  <c r="D86" i="6"/>
  <c r="B245" i="6"/>
  <c r="C245" i="6"/>
  <c r="D245" i="6"/>
  <c r="B229" i="6"/>
  <c r="C229" i="6"/>
  <c r="D229" i="6"/>
  <c r="B220" i="6"/>
  <c r="C220" i="6"/>
  <c r="D220" i="6"/>
  <c r="B211" i="6"/>
  <c r="C211" i="6"/>
  <c r="D211" i="6"/>
  <c r="B202" i="6"/>
  <c r="C202" i="6"/>
  <c r="D202" i="6"/>
  <c r="B193" i="6"/>
  <c r="C193" i="6"/>
  <c r="D193" i="6"/>
  <c r="B184" i="6"/>
  <c r="C184" i="6"/>
  <c r="D184" i="6"/>
  <c r="B175" i="6"/>
  <c r="C175" i="6"/>
  <c r="D175" i="6"/>
  <c r="B166" i="6"/>
  <c r="C166" i="6"/>
  <c r="D166" i="6"/>
  <c r="B157" i="6"/>
  <c r="C157" i="6"/>
  <c r="D157" i="6"/>
  <c r="B148" i="6"/>
  <c r="C148" i="6"/>
  <c r="D148" i="6"/>
  <c r="B139" i="6"/>
  <c r="C139" i="6"/>
  <c r="D139" i="6"/>
  <c r="B130" i="6"/>
  <c r="C130" i="6"/>
  <c r="D130" i="6"/>
  <c r="B121" i="6"/>
  <c r="C121" i="6"/>
  <c r="D121" i="6"/>
  <c r="B112" i="6"/>
  <c r="C112" i="6"/>
  <c r="D112" i="6"/>
  <c r="B103" i="6"/>
  <c r="C103" i="6"/>
  <c r="D103" i="6"/>
  <c r="B94" i="6"/>
  <c r="C94" i="6"/>
  <c r="D94" i="6"/>
  <c r="B85" i="6"/>
  <c r="C85" i="6"/>
  <c r="D85" i="6"/>
  <c r="C69" i="6"/>
  <c r="C66" i="6"/>
  <c r="C63" i="6"/>
  <c r="C60" i="6"/>
  <c r="D80" i="6"/>
  <c r="D77" i="6"/>
  <c r="D74" i="6"/>
  <c r="D71" i="6"/>
  <c r="D68" i="6"/>
  <c r="D65" i="6"/>
  <c r="D62" i="6"/>
  <c r="D59" i="6"/>
  <c r="C80" i="6"/>
  <c r="C77" i="6"/>
  <c r="C74" i="6"/>
  <c r="C71" i="6"/>
  <c r="C68" i="6"/>
  <c r="C65" i="6"/>
  <c r="C62" i="6"/>
  <c r="C59" i="6"/>
  <c r="D79" i="6"/>
  <c r="D76" i="6"/>
  <c r="D73" i="6"/>
  <c r="D70" i="6"/>
  <c r="D67" i="6"/>
  <c r="D64" i="6"/>
  <c r="D61" i="6"/>
  <c r="C79" i="6"/>
  <c r="C76" i="6"/>
  <c r="C73" i="6"/>
  <c r="C70" i="6"/>
  <c r="C67" i="6"/>
  <c r="C64" i="6"/>
  <c r="C61" i="6"/>
  <c r="W108" i="5"/>
  <c r="W107" i="5"/>
  <c r="W106" i="5"/>
  <c r="W105" i="5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K7" i="3"/>
  <c r="L7" i="3"/>
  <c r="M7" i="3"/>
  <c r="N7" i="3"/>
  <c r="O7" i="3"/>
  <c r="Q7" i="3"/>
  <c r="O8" i="3"/>
  <c r="Q8" i="3"/>
  <c r="K9" i="3"/>
  <c r="L9" i="3"/>
  <c r="M9" i="3"/>
  <c r="N9" i="3"/>
  <c r="O9" i="3"/>
  <c r="Q9" i="3"/>
  <c r="O10" i="3"/>
  <c r="Q10" i="3"/>
  <c r="K11" i="3"/>
  <c r="L11" i="3"/>
  <c r="M11" i="3"/>
  <c r="N11" i="3"/>
  <c r="O11" i="3"/>
  <c r="Q11" i="3"/>
  <c r="O12" i="3"/>
  <c r="Q12" i="3"/>
  <c r="K13" i="3"/>
  <c r="L13" i="3"/>
  <c r="M13" i="3"/>
  <c r="N13" i="3"/>
  <c r="O13" i="3"/>
  <c r="Q13" i="3"/>
  <c r="O14" i="3"/>
  <c r="Q14" i="3"/>
  <c r="K15" i="3"/>
  <c r="L15" i="3"/>
  <c r="M15" i="3"/>
  <c r="N15" i="3"/>
  <c r="O15" i="3"/>
  <c r="Q15" i="3"/>
  <c r="O16" i="3"/>
  <c r="Q16" i="3"/>
  <c r="K17" i="3"/>
  <c r="L17" i="3"/>
  <c r="M17" i="3"/>
  <c r="N17" i="3"/>
  <c r="O17" i="3"/>
  <c r="Q17" i="3"/>
  <c r="O18" i="3"/>
  <c r="Q18" i="3"/>
  <c r="K19" i="3"/>
  <c r="L19" i="3"/>
  <c r="M19" i="3"/>
  <c r="N19" i="3"/>
  <c r="O19" i="3"/>
  <c r="Q19" i="3"/>
  <c r="O20" i="3"/>
  <c r="Q20" i="3"/>
  <c r="K21" i="3"/>
  <c r="L21" i="3"/>
  <c r="M21" i="3"/>
  <c r="N21" i="3"/>
  <c r="O21" i="3"/>
  <c r="Q21" i="3"/>
  <c r="O22" i="3"/>
  <c r="Q22" i="3"/>
  <c r="K23" i="3"/>
  <c r="L23" i="3"/>
  <c r="M23" i="3"/>
  <c r="N23" i="3"/>
  <c r="O23" i="3"/>
  <c r="Q23" i="3"/>
  <c r="O24" i="3"/>
  <c r="Q24" i="3"/>
  <c r="G15" i="3"/>
  <c r="H15" i="3" s="1"/>
  <c r="A12" i="2" s="1"/>
  <c r="G17" i="3"/>
  <c r="H17" i="3" s="1"/>
  <c r="A14" i="2" s="1"/>
  <c r="G19" i="3"/>
  <c r="H19" i="3" s="1"/>
  <c r="P19" i="3" s="1"/>
  <c r="G21" i="3"/>
  <c r="H21" i="3" s="1"/>
  <c r="P21" i="3" s="1"/>
  <c r="G23" i="3"/>
  <c r="H23" i="3" s="1"/>
  <c r="P23" i="3" s="1"/>
  <c r="G13" i="3"/>
  <c r="H13" i="3" s="1"/>
  <c r="P13" i="3" s="1"/>
  <c r="G11" i="3"/>
  <c r="H11" i="3" s="1"/>
  <c r="P11" i="3" s="1"/>
  <c r="G9" i="3"/>
  <c r="H9" i="3" s="1"/>
  <c r="P9" i="3" s="1"/>
  <c r="N24" i="3"/>
  <c r="G24" i="3"/>
  <c r="L24" i="3"/>
  <c r="K24" i="3"/>
  <c r="N22" i="3"/>
  <c r="M22" i="3"/>
  <c r="L22" i="3"/>
  <c r="K22" i="3"/>
  <c r="N20" i="3"/>
  <c r="G20" i="3"/>
  <c r="L20" i="3"/>
  <c r="K20" i="3"/>
  <c r="N18" i="3"/>
  <c r="G18" i="3"/>
  <c r="H18" i="3" s="1"/>
  <c r="P18" i="3" s="1"/>
  <c r="L18" i="3"/>
  <c r="K18" i="3"/>
  <c r="N16" i="3"/>
  <c r="G16" i="3"/>
  <c r="L16" i="3"/>
  <c r="K16" i="3"/>
  <c r="N14" i="3"/>
  <c r="G14" i="3"/>
  <c r="L14" i="3"/>
  <c r="K14" i="3"/>
  <c r="N12" i="3"/>
  <c r="G12" i="3"/>
  <c r="L12" i="3"/>
  <c r="K12" i="3"/>
  <c r="N10" i="3"/>
  <c r="G10" i="3"/>
  <c r="L10" i="3"/>
  <c r="K10" i="3"/>
  <c r="N8" i="3"/>
  <c r="P15" i="3" l="1"/>
  <c r="M14" i="3"/>
  <c r="M12" i="3"/>
  <c r="A42" i="2"/>
  <c r="A36" i="2"/>
  <c r="A30" i="2"/>
  <c r="A24" i="2"/>
  <c r="A18" i="2"/>
  <c r="A6" i="2"/>
  <c r="P17" i="3"/>
  <c r="A40" i="2"/>
  <c r="A34" i="2"/>
  <c r="A28" i="2"/>
  <c r="A22" i="2"/>
  <c r="A16" i="2"/>
  <c r="A10" i="2"/>
  <c r="A15" i="2"/>
  <c r="H10" i="3"/>
  <c r="G22" i="3"/>
  <c r="H22" i="3" s="1"/>
  <c r="A44" i="2"/>
  <c r="A38" i="2"/>
  <c r="A32" i="2"/>
  <c r="A26" i="2"/>
  <c r="A20" i="2"/>
  <c r="A8" i="2"/>
  <c r="M10" i="3"/>
  <c r="M20" i="3"/>
  <c r="H14" i="3"/>
  <c r="M18" i="3"/>
  <c r="M16" i="3"/>
  <c r="H20" i="3"/>
  <c r="H24" i="3"/>
  <c r="M24" i="3"/>
  <c r="H16" i="3"/>
  <c r="H12" i="3"/>
  <c r="P22" i="3" l="1"/>
  <c r="A19" i="2"/>
  <c r="A23" i="2"/>
  <c r="A29" i="2"/>
  <c r="P24" i="3"/>
  <c r="A21" i="2"/>
  <c r="A31" i="2"/>
  <c r="A25" i="2"/>
  <c r="P20" i="3"/>
  <c r="A17" i="2"/>
  <c r="A33" i="2"/>
  <c r="A27" i="2"/>
  <c r="P12" i="3"/>
  <c r="A9" i="2"/>
  <c r="P16" i="3"/>
  <c r="A13" i="2"/>
  <c r="P14" i="3"/>
  <c r="A11" i="2"/>
  <c r="P10" i="3"/>
  <c r="A7" i="2"/>
  <c r="C11" i="16"/>
  <c r="B11" i="16"/>
  <c r="A11" i="16"/>
  <c r="C10" i="16"/>
  <c r="B10" i="16"/>
  <c r="A10" i="16"/>
  <c r="D10" i="16" s="1"/>
  <c r="C9" i="16"/>
  <c r="B9" i="16"/>
  <c r="A9" i="16"/>
  <c r="C8" i="16"/>
  <c r="B8" i="16"/>
  <c r="A8" i="16"/>
  <c r="C7" i="16"/>
  <c r="B7" i="16"/>
  <c r="A7" i="16"/>
  <c r="D7" i="16" s="1"/>
  <c r="C6" i="16"/>
  <c r="B6" i="16"/>
  <c r="A6" i="16"/>
  <c r="C5" i="16"/>
  <c r="B5" i="16"/>
  <c r="A5" i="16"/>
  <c r="C4" i="16"/>
  <c r="B4" i="16"/>
  <c r="A4" i="16"/>
  <c r="C3" i="16"/>
  <c r="B3" i="16"/>
  <c r="A3" i="16"/>
  <c r="C2" i="16"/>
  <c r="B2" i="16"/>
  <c r="A2" i="16"/>
  <c r="H10" i="14"/>
  <c r="W93" i="5"/>
  <c r="W94" i="5"/>
  <c r="D9" i="16" l="1"/>
  <c r="D8" i="16"/>
  <c r="D11" i="16"/>
  <c r="A35" i="2" l="1"/>
  <c r="A37" i="2"/>
  <c r="A39" i="2"/>
  <c r="A41" i="2"/>
  <c r="A45" i="2"/>
  <c r="A43" i="2"/>
  <c r="B1" i="3"/>
  <c r="B10" i="20"/>
  <c r="B2" i="3" s="1"/>
  <c r="D13" i="17" l="1"/>
  <c r="A13" i="18" s="1"/>
  <c r="D12" i="17"/>
  <c r="A12" i="18" s="1"/>
  <c r="D11" i="17"/>
  <c r="A11" i="18" s="1"/>
  <c r="D10" i="17"/>
  <c r="A10" i="18" s="1"/>
  <c r="D9" i="17"/>
  <c r="A9" i="18" s="1"/>
  <c r="D8" i="17"/>
  <c r="A8" i="18" s="1"/>
  <c r="D7" i="17"/>
  <c r="A7" i="18" s="1"/>
  <c r="D6" i="17"/>
  <c r="A6" i="18" s="1"/>
  <c r="D5" i="17"/>
  <c r="A5" i="18" s="1"/>
  <c r="D4" i="17"/>
  <c r="A4" i="18" s="1"/>
  <c r="D3" i="17"/>
  <c r="A3" i="18" s="1"/>
  <c r="D2" i="17"/>
  <c r="A2" i="18" s="1"/>
  <c r="A13" i="12"/>
  <c r="B13" i="12" s="1"/>
  <c r="A14" i="12"/>
  <c r="B14" i="12" s="1"/>
  <c r="B4" i="19"/>
  <c r="C4" i="19" s="1"/>
  <c r="A4" i="12" s="1"/>
  <c r="B4" i="12" s="1"/>
  <c r="B5" i="19"/>
  <c r="C5" i="19" s="1"/>
  <c r="A5" i="12" s="1"/>
  <c r="B5" i="12" s="1"/>
  <c r="B6" i="19"/>
  <c r="C6" i="19" s="1"/>
  <c r="A6" i="12" s="1"/>
  <c r="B6" i="12" s="1"/>
  <c r="B7" i="19"/>
  <c r="C7" i="19" s="1"/>
  <c r="A7" i="12" s="1"/>
  <c r="B7" i="12" s="1"/>
  <c r="B8" i="19"/>
  <c r="C8" i="19" s="1"/>
  <c r="A8" i="12" s="1"/>
  <c r="B8" i="12" s="1"/>
  <c r="B9" i="19"/>
  <c r="B10" i="19"/>
  <c r="C10" i="19" s="1"/>
  <c r="A10" i="12" s="1"/>
  <c r="B10" i="12" s="1"/>
  <c r="B11" i="19"/>
  <c r="C11" i="19" s="1"/>
  <c r="A11" i="12" s="1"/>
  <c r="B11" i="12" s="1"/>
  <c r="B12" i="19"/>
  <c r="B13" i="19"/>
  <c r="B14" i="19"/>
  <c r="B15" i="19"/>
  <c r="C15" i="19" s="1"/>
  <c r="A15" i="12" s="1"/>
  <c r="B15" i="12" s="1"/>
  <c r="B16" i="19"/>
  <c r="C3" i="19"/>
  <c r="A3" i="12" s="1"/>
  <c r="B3" i="12" s="1"/>
  <c r="C2" i="19"/>
  <c r="A2" i="12" s="1"/>
  <c r="B2" i="12" s="1"/>
  <c r="C9" i="19"/>
  <c r="A9" i="12" s="1"/>
  <c r="B9" i="12" s="1"/>
  <c r="C12" i="19"/>
  <c r="A12" i="12" s="1"/>
  <c r="B12" i="12" s="1"/>
  <c r="C13" i="19"/>
  <c r="C14" i="19"/>
  <c r="C16" i="19"/>
  <c r="B3" i="18"/>
  <c r="B4" i="18"/>
  <c r="B5" i="18"/>
  <c r="B6" i="18"/>
  <c r="B7" i="18"/>
  <c r="B8" i="18"/>
  <c r="B9" i="18"/>
  <c r="B10" i="18"/>
  <c r="B11" i="18"/>
  <c r="B12" i="18"/>
  <c r="B13" i="18"/>
  <c r="B2" i="18"/>
  <c r="W6" i="5"/>
  <c r="W7" i="5"/>
  <c r="W8" i="5"/>
  <c r="W9" i="5"/>
  <c r="W10" i="5"/>
  <c r="W11" i="5"/>
  <c r="W12" i="5"/>
  <c r="W13" i="5"/>
  <c r="W14" i="5"/>
  <c r="W15" i="5"/>
  <c r="W16" i="5"/>
  <c r="W95" i="5"/>
  <c r="W96" i="5"/>
  <c r="W97" i="5"/>
  <c r="W98" i="5"/>
  <c r="W99" i="5"/>
  <c r="W100" i="5"/>
  <c r="W101" i="5"/>
  <c r="W102" i="5"/>
  <c r="W103" i="5"/>
  <c r="W104" i="5"/>
  <c r="W109" i="5"/>
  <c r="W110" i="5"/>
  <c r="W111" i="5"/>
  <c r="W112" i="5"/>
  <c r="W113" i="5"/>
  <c r="W114" i="5"/>
  <c r="W115" i="5"/>
  <c r="W116" i="5"/>
  <c r="W5" i="5"/>
  <c r="A2" i="15" l="1" a="1"/>
  <c r="F9" i="5"/>
  <c r="F10" i="5"/>
  <c r="F11" i="5"/>
  <c r="F12" i="5"/>
  <c r="F13" i="5"/>
  <c r="F14" i="5"/>
  <c r="F15" i="5"/>
  <c r="F16" i="5"/>
  <c r="G7" i="3"/>
  <c r="H7" i="3" s="1"/>
  <c r="K8" i="3"/>
  <c r="L8" i="3"/>
  <c r="B9" i="15" l="1"/>
  <c r="B10" i="15"/>
  <c r="B3" i="15"/>
  <c r="B4" i="15"/>
  <c r="B5" i="15"/>
  <c r="B6" i="15"/>
  <c r="B7" i="15"/>
  <c r="B8" i="15"/>
  <c r="A2" i="10" a="1"/>
  <c r="B17" i="10" s="1"/>
  <c r="A2" i="15"/>
  <c r="B2" i="15" s="1"/>
  <c r="P7" i="3"/>
  <c r="A4" i="2"/>
  <c r="G8" i="3"/>
  <c r="H8" i="3" s="1"/>
  <c r="M8" i="3"/>
  <c r="B3" i="2"/>
  <c r="A2" i="8"/>
  <c r="C2" i="8" s="1"/>
  <c r="B8" i="14"/>
  <c r="J8" i="14" s="1"/>
  <c r="B7" i="14"/>
  <c r="A12" i="14" s="1"/>
  <c r="D39" i="14"/>
  <c r="E38" i="14"/>
  <c r="E39" i="14" s="1"/>
  <c r="D37" i="14"/>
  <c r="E36" i="14"/>
  <c r="E37" i="14" s="1"/>
  <c r="D35" i="14"/>
  <c r="E34" i="14"/>
  <c r="E35" i="14" s="1"/>
  <c r="E32" i="14"/>
  <c r="E28" i="14"/>
  <c r="E29" i="14" s="1"/>
  <c r="E26" i="14"/>
  <c r="D25" i="14"/>
  <c r="E24" i="14"/>
  <c r="D23" i="14"/>
  <c r="E22" i="14"/>
  <c r="D21" i="14"/>
  <c r="E20" i="14"/>
  <c r="E18" i="14"/>
  <c r="E16" i="14"/>
  <c r="E14" i="14"/>
  <c r="E12" i="14"/>
  <c r="E13" i="14" s="1"/>
  <c r="I6" i="14"/>
  <c r="I5" i="14"/>
  <c r="I4" i="14"/>
  <c r="J4" i="14" s="1"/>
  <c r="I3" i="14"/>
  <c r="I2" i="14"/>
  <c r="I1" i="14"/>
  <c r="J1" i="14" s="1"/>
  <c r="H19" i="14"/>
  <c r="H12" i="14"/>
  <c r="J12" i="14"/>
  <c r="H20" i="14"/>
  <c r="H18" i="14"/>
  <c r="I14" i="14"/>
  <c r="H14" i="14"/>
  <c r="H13" i="14"/>
  <c r="I12" i="14"/>
  <c r="I20" i="14"/>
  <c r="I13" i="14"/>
  <c r="B19" i="10" l="1"/>
  <c r="B7" i="10"/>
  <c r="B5" i="10"/>
  <c r="B14" i="10"/>
  <c r="B23" i="10"/>
  <c r="B9" i="10"/>
  <c r="B8" i="10"/>
  <c r="B4" i="10"/>
  <c r="B15" i="10"/>
  <c r="B18" i="10"/>
  <c r="A2" i="10"/>
  <c r="B2" i="10" s="1"/>
  <c r="B3" i="10"/>
  <c r="B13" i="10"/>
  <c r="B11" i="10"/>
  <c r="B12" i="10"/>
  <c r="B6" i="10"/>
  <c r="B22" i="10"/>
  <c r="B16" i="10"/>
  <c r="B20" i="10"/>
  <c r="B10" i="10"/>
  <c r="B21" i="10"/>
  <c r="E25" i="14"/>
  <c r="E15" i="14"/>
  <c r="E27" i="14"/>
  <c r="E17" i="14"/>
  <c r="E21" i="14"/>
  <c r="E19" i="14"/>
  <c r="E23" i="14"/>
  <c r="P8" i="3"/>
  <c r="A5" i="2"/>
  <c r="B2" i="8"/>
  <c r="B12" i="14"/>
  <c r="J7" i="14"/>
  <c r="K4" i="14"/>
  <c r="K1" i="14"/>
  <c r="J6" i="14"/>
  <c r="J2" i="14"/>
  <c r="J5" i="14"/>
  <c r="J3" i="14"/>
  <c r="I18" i="14"/>
  <c r="I19" i="14"/>
  <c r="J18" i="14"/>
  <c r="K3" i="14" l="1"/>
  <c r="K5" i="14"/>
  <c r="K2" i="14"/>
  <c r="K6" i="14"/>
  <c r="L1" i="14"/>
  <c r="L4" i="14"/>
  <c r="B2" i="2"/>
  <c r="K12" i="14"/>
  <c r="J19" i="14"/>
  <c r="J13" i="14"/>
  <c r="J14" i="14"/>
  <c r="J20" i="14"/>
  <c r="K18" i="14"/>
  <c r="L6" i="14" l="1"/>
  <c r="M4" i="14"/>
  <c r="M1" i="14"/>
  <c r="L2" i="14"/>
  <c r="L5" i="14"/>
  <c r="L3" i="14"/>
  <c r="K19" i="14"/>
  <c r="L18" i="14"/>
  <c r="K20" i="14"/>
  <c r="K13" i="14"/>
  <c r="L12" i="14"/>
  <c r="K14" i="14"/>
  <c r="M3" i="14" l="1"/>
  <c r="M5" i="14"/>
  <c r="M2" i="14"/>
  <c r="N1" i="14"/>
  <c r="N4" i="14"/>
  <c r="M6" i="14"/>
  <c r="L14" i="14"/>
  <c r="M18" i="14"/>
  <c r="L20" i="14"/>
  <c r="L13" i="14"/>
  <c r="L19" i="14"/>
  <c r="M12" i="14"/>
  <c r="O1" i="14" l="1"/>
  <c r="N6" i="14"/>
  <c r="N2" i="14"/>
  <c r="O4" i="14"/>
  <c r="N5" i="14"/>
  <c r="N3" i="14"/>
  <c r="M20" i="14"/>
  <c r="N12" i="14"/>
  <c r="M13" i="14"/>
  <c r="M19" i="14"/>
  <c r="M14" i="14"/>
  <c r="N18" i="14"/>
  <c r="O3" i="14" l="1"/>
  <c r="P1" i="14"/>
  <c r="O5" i="14"/>
  <c r="P4" i="14"/>
  <c r="O2" i="14"/>
  <c r="O6" i="14"/>
  <c r="O18" i="14"/>
  <c r="N13" i="14"/>
  <c r="N20" i="14"/>
  <c r="O12" i="14"/>
  <c r="N14" i="14"/>
  <c r="N19" i="14"/>
  <c r="P2" i="14" l="1"/>
  <c r="P6" i="14"/>
  <c r="Q4" i="14"/>
  <c r="P3" i="14"/>
  <c r="Q1" i="14"/>
  <c r="P5" i="14"/>
  <c r="O20" i="14"/>
  <c r="O14" i="14"/>
  <c r="P18" i="14"/>
  <c r="P12" i="14"/>
  <c r="O13" i="14"/>
  <c r="O19" i="14"/>
  <c r="R1" i="14" l="1"/>
  <c r="R4" i="14"/>
  <c r="Q3" i="14"/>
  <c r="Q5" i="14"/>
  <c r="Q6" i="14"/>
  <c r="Q2" i="14"/>
  <c r="P20" i="14"/>
  <c r="H24" i="14"/>
  <c r="P14" i="14"/>
  <c r="P19" i="14"/>
  <c r="P13" i="14"/>
  <c r="R5" i="14" l="1"/>
  <c r="R3" i="14"/>
  <c r="R2" i="14"/>
  <c r="S4" i="14"/>
  <c r="R6" i="14"/>
  <c r="S1" i="14"/>
  <c r="H26" i="14"/>
  <c r="H25" i="14"/>
  <c r="I24" i="14"/>
  <c r="S2" i="14" l="1"/>
  <c r="T1" i="14"/>
  <c r="T4" i="14"/>
  <c r="S3" i="14"/>
  <c r="S5" i="14"/>
  <c r="S6" i="14"/>
  <c r="Q6" i="3"/>
  <c r="O6" i="3"/>
  <c r="N6" i="3"/>
  <c r="G6" i="3"/>
  <c r="L6" i="3"/>
  <c r="K6" i="3"/>
  <c r="Q5" i="3"/>
  <c r="O5" i="3"/>
  <c r="N5" i="3"/>
  <c r="M5" i="3"/>
  <c r="L5" i="3"/>
  <c r="K5" i="3"/>
  <c r="G5" i="3"/>
  <c r="H5" i="3" s="1"/>
  <c r="A2" i="2" s="1"/>
  <c r="I25" i="14"/>
  <c r="I26" i="14"/>
  <c r="J24" i="14"/>
  <c r="T5" i="14" l="1"/>
  <c r="U4" i="14"/>
  <c r="T6" i="14"/>
  <c r="U1" i="14"/>
  <c r="T3" i="14"/>
  <c r="T2" i="14"/>
  <c r="P5" i="3"/>
  <c r="M6" i="3"/>
  <c r="H6" i="3"/>
  <c r="K24" i="14"/>
  <c r="J25" i="14"/>
  <c r="J26" i="14"/>
  <c r="P6" i="3" l="1"/>
  <c r="A3" i="2"/>
  <c r="V4" i="14"/>
  <c r="W4" i="14" s="1"/>
  <c r="X4" i="14" s="1"/>
  <c r="Y4" i="14" s="1"/>
  <c r="U6" i="14"/>
  <c r="V1" i="14"/>
  <c r="U2" i="14"/>
  <c r="U3" i="14"/>
  <c r="U5" i="14"/>
  <c r="L30" i="14"/>
  <c r="K25" i="14"/>
  <c r="L24" i="14"/>
  <c r="K26" i="14"/>
  <c r="V5" i="14" l="1"/>
  <c r="W5" i="14" s="1"/>
  <c r="X5" i="14" s="1"/>
  <c r="Y5" i="14" s="1"/>
  <c r="V3" i="14"/>
  <c r="W1" i="14"/>
  <c r="V2" i="14"/>
  <c r="V6" i="14"/>
  <c r="W6" i="14" s="1"/>
  <c r="X6" i="14" s="1"/>
  <c r="Y6" i="14" s="1"/>
  <c r="L32" i="14"/>
  <c r="L26" i="14"/>
  <c r="L31" i="14"/>
  <c r="H30" i="14"/>
  <c r="L25" i="14"/>
  <c r="X1" i="14" l="1"/>
  <c r="W3" i="14"/>
  <c r="W2" i="14"/>
  <c r="H31" i="14"/>
  <c r="H32" i="14"/>
  <c r="X3" i="14" l="1"/>
  <c r="Y1" i="14"/>
  <c r="X2" i="14"/>
  <c r="I31" i="14"/>
  <c r="J30" i="14"/>
  <c r="I32" i="14"/>
  <c r="I30" i="14"/>
  <c r="Y2" i="14" l="1"/>
  <c r="Y3" i="14"/>
  <c r="B2" i="5"/>
  <c r="B1" i="5"/>
  <c r="J32" i="14"/>
  <c r="K30" i="14"/>
  <c r="G16" i="5" l="1"/>
  <c r="P15" i="5"/>
  <c r="H15" i="5"/>
  <c r="G15" i="5"/>
  <c r="D15" i="5"/>
  <c r="D16" i="5" s="1"/>
  <c r="G14" i="5"/>
  <c r="P13" i="5"/>
  <c r="O13" i="5"/>
  <c r="M13" i="5"/>
  <c r="H13" i="5"/>
  <c r="G13" i="5"/>
  <c r="C13" i="5"/>
  <c r="H16" i="5" s="1"/>
  <c r="H12" i="5"/>
  <c r="G12" i="5"/>
  <c r="P11" i="5"/>
  <c r="H11" i="5"/>
  <c r="G11" i="5"/>
  <c r="D11" i="5"/>
  <c r="D12" i="5" s="1"/>
  <c r="H10" i="5"/>
  <c r="G10" i="5"/>
  <c r="P9" i="5"/>
  <c r="O9" i="5"/>
  <c r="N9" i="5"/>
  <c r="M9" i="5"/>
  <c r="H9" i="5"/>
  <c r="G9" i="5"/>
  <c r="H8" i="5"/>
  <c r="G8" i="5"/>
  <c r="R8" i="5" s="1"/>
  <c r="F8" i="5"/>
  <c r="P7" i="5"/>
  <c r="H7" i="5"/>
  <c r="S7" i="5" s="1"/>
  <c r="G7" i="5"/>
  <c r="R7" i="5" s="1"/>
  <c r="F7" i="5"/>
  <c r="D7" i="5"/>
  <c r="O7" i="5" s="1"/>
  <c r="H6" i="5"/>
  <c r="G6" i="5"/>
  <c r="R6" i="5" s="1"/>
  <c r="F6" i="5"/>
  <c r="P5" i="5"/>
  <c r="O5" i="5"/>
  <c r="N5" i="5"/>
  <c r="M5" i="5"/>
  <c r="L5" i="5"/>
  <c r="H5" i="5"/>
  <c r="S5" i="5" s="1"/>
  <c r="G5" i="5"/>
  <c r="R5" i="5" s="1"/>
  <c r="F5" i="5"/>
  <c r="K32" i="14"/>
  <c r="K31" i="14"/>
  <c r="J31" i="14"/>
  <c r="R10" i="5" l="1"/>
  <c r="R14" i="5"/>
  <c r="R15" i="5"/>
  <c r="R13" i="5"/>
  <c r="R11" i="5"/>
  <c r="R9" i="5"/>
  <c r="R12" i="5"/>
  <c r="R16" i="5"/>
  <c r="S13" i="5"/>
  <c r="S15" i="5"/>
  <c r="S11" i="5"/>
  <c r="S10" i="5"/>
  <c r="S9" i="5"/>
  <c r="S12" i="5"/>
  <c r="S16" i="5"/>
  <c r="S6" i="5"/>
  <c r="S8" i="5"/>
  <c r="Q10" i="5"/>
  <c r="Q6" i="5"/>
  <c r="Q13" i="5"/>
  <c r="Q12" i="5"/>
  <c r="Q5" i="5"/>
  <c r="A2" i="6"/>
  <c r="Q7" i="5"/>
  <c r="Q15" i="5"/>
  <c r="Q14" i="5"/>
  <c r="Q8" i="5"/>
  <c r="Q16" i="5"/>
  <c r="Q11" i="5"/>
  <c r="Q9" i="5"/>
  <c r="D8" i="5"/>
  <c r="O15" i="5"/>
  <c r="O11" i="5"/>
  <c r="H14" i="5"/>
  <c r="N13" i="5"/>
  <c r="S14" i="5" l="1"/>
  <c r="D2" i="6"/>
  <c r="C2" i="6"/>
  <c r="B2" i="6"/>
  <c r="L2" i="3" l="1"/>
  <c r="L1" i="3"/>
  <c r="M2" i="5"/>
  <c r="M1" i="5"/>
  <c r="D2" i="8" l="1"/>
  <c r="G25" i="1"/>
  <c r="F25" i="1"/>
  <c r="A24" i="1"/>
  <c r="A25" i="1" l="1"/>
  <c r="A26" i="1"/>
  <c r="G27" i="1"/>
  <c r="F27" i="1"/>
  <c r="A22" i="1"/>
  <c r="G23" i="1"/>
  <c r="F23" i="1"/>
  <c r="A27" i="1" l="1"/>
  <c r="A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<sst xmlns="http://schemas.openxmlformats.org/spreadsheetml/2006/main" count="601" uniqueCount="209">
  <si>
    <t>ENCLOSURE</t>
  </si>
  <si>
    <t>POWER</t>
  </si>
  <si>
    <t>J1</t>
  </si>
  <si>
    <t>J3</t>
  </si>
  <si>
    <t>SP1</t>
  </si>
  <si>
    <t>IS1</t>
  </si>
  <si>
    <t>1G</t>
  </si>
  <si>
    <t>PWR</t>
  </si>
  <si>
    <t>IS3</t>
  </si>
  <si>
    <t>SP2</t>
  </si>
  <si>
    <t>SP3</t>
  </si>
  <si>
    <t>IS2</t>
  </si>
  <si>
    <t>MONITOR</t>
  </si>
  <si>
    <t>Device</t>
  </si>
  <si>
    <t>C-1</t>
  </si>
  <si>
    <t>C-2</t>
  </si>
  <si>
    <t>Qty</t>
  </si>
  <si>
    <t>Seg 1</t>
  </si>
  <si>
    <t>Seg 2</t>
  </si>
  <si>
    <t>Seg 3</t>
  </si>
  <si>
    <t>TD163L-SB01-1</t>
  </si>
  <si>
    <t>RTU</t>
  </si>
  <si>
    <t>Seg 4</t>
  </si>
  <si>
    <t>SB01-1</t>
  </si>
  <si>
    <t>VIDEO</t>
  </si>
  <si>
    <t>TD163_R01_B01 - SB01-1</t>
  </si>
  <si>
    <t xml:space="preserve"> </t>
  </si>
  <si>
    <t>TD163L-RM-1</t>
  </si>
  <si>
    <t>ETHERNET</t>
  </si>
  <si>
    <t>3100-0234-15</t>
  </si>
  <si>
    <t>3100-0231-15</t>
  </si>
  <si>
    <t>3100-0234-10</t>
  </si>
  <si>
    <t>3100-0234-07</t>
  </si>
  <si>
    <t>3100-0232-10</t>
  </si>
  <si>
    <t>3100-0232-07</t>
  </si>
  <si>
    <t>3100-0233-07</t>
  </si>
  <si>
    <t>From Device</t>
  </si>
  <si>
    <t>To Device</t>
  </si>
  <si>
    <t>Cable Part #</t>
  </si>
  <si>
    <t>TYPE</t>
  </si>
  <si>
    <t>SYNC BOX PORT</t>
  </si>
  <si>
    <t>LOOKUP</t>
  </si>
  <si>
    <t>MS</t>
  </si>
  <si>
    <t>SF</t>
  </si>
  <si>
    <t>SLA</t>
  </si>
  <si>
    <t>IS</t>
  </si>
  <si>
    <t>SR</t>
  </si>
  <si>
    <t>SL</t>
  </si>
  <si>
    <t>NT</t>
  </si>
  <si>
    <t>Type</t>
  </si>
  <si>
    <t>LABEL</t>
  </si>
  <si>
    <t>QTY</t>
  </si>
  <si>
    <t>Robot / FRAME</t>
  </si>
  <si>
    <t>Job Number</t>
  </si>
  <si>
    <t>Job Desc:</t>
  </si>
  <si>
    <t>FEMALE</t>
  </si>
  <si>
    <t>End Gender</t>
  </si>
  <si>
    <t>TO</t>
  </si>
  <si>
    <t>FROM</t>
  </si>
  <si>
    <t>MALE</t>
  </si>
  <si>
    <t>END</t>
  </si>
  <si>
    <t>Cabinet Labels</t>
  </si>
  <si>
    <t>Job #</t>
  </si>
  <si>
    <t>System</t>
  </si>
  <si>
    <t>Line 1</t>
  </si>
  <si>
    <t>Line 2</t>
  </si>
  <si>
    <t>Line 3</t>
  </si>
  <si>
    <t>ETHERNET SM</t>
  </si>
  <si>
    <t>TO CELL SWITCH</t>
  </si>
  <si>
    <t>INOS DATA</t>
  </si>
  <si>
    <t>PLANT NETWORK</t>
  </si>
  <si>
    <t>SB</t>
  </si>
  <si>
    <t>ETHERNET IP</t>
  </si>
  <si>
    <t xml:space="preserve">Customer Plant: </t>
  </si>
  <si>
    <t xml:space="preserve">SIDE - Floor Stand </t>
  </si>
  <si>
    <t>Job Description:</t>
  </si>
  <si>
    <t>Job Number:</t>
  </si>
  <si>
    <t>Job - Station - Function:</t>
  </si>
  <si>
    <t>LINE 1</t>
  </si>
  <si>
    <t>LINE 2</t>
  </si>
  <si>
    <t>LINE 3</t>
  </si>
  <si>
    <t>INPUT ARTIFACT NUMBERS HERE</t>
  </si>
  <si>
    <t>EN1 - INOS</t>
  </si>
  <si>
    <t>EN2 - INOS</t>
  </si>
  <si>
    <t>EN3 - INOS</t>
  </si>
  <si>
    <t>EN4 - METRONOR</t>
  </si>
  <si>
    <t>ENET TO CELL SWITCH</t>
  </si>
  <si>
    <t>EIP TO CELL SWITCH</t>
  </si>
  <si>
    <t>D12</t>
  </si>
  <si>
    <t>E12</t>
  </si>
  <si>
    <t>F12</t>
  </si>
  <si>
    <t>D13</t>
  </si>
  <si>
    <t>E13</t>
  </si>
  <si>
    <t>F13</t>
  </si>
  <si>
    <t>Metronor</t>
  </si>
  <si>
    <t>CB</t>
  </si>
  <si>
    <t/>
  </si>
  <si>
    <t>Device Labels</t>
  </si>
  <si>
    <t>CB/SB/RM Labels</t>
  </si>
  <si>
    <t>MODEL CODE</t>
  </si>
  <si>
    <t>TAP PAD #</t>
  </si>
  <si>
    <t>LABEL QTY</t>
  </si>
  <si>
    <t>*NOTE: to prevent Excel from confusing a " - " with a function, put a " ' " (apostrophe) before the artifact name</t>
  </si>
  <si>
    <t>Ex. Instead of 01-1, type '01-1</t>
  </si>
  <si>
    <t>Add "AF" / "AR" Prefix</t>
  </si>
  <si>
    <t>Output to PRNT</t>
  </si>
  <si>
    <t>CONCATENATE</t>
  </si>
  <si>
    <t>Customer:</t>
  </si>
  <si>
    <t>End User:</t>
  </si>
  <si>
    <t>GM</t>
  </si>
  <si>
    <t>Model:</t>
  </si>
  <si>
    <t>Function:</t>
  </si>
  <si>
    <t>Station #:</t>
  </si>
  <si>
    <t>Output (do not modify):</t>
  </si>
  <si>
    <t>Plant (Abbreviate):</t>
  </si>
  <si>
    <t>Job #:</t>
  </si>
  <si>
    <t>Notes:</t>
  </si>
  <si>
    <t xml:space="preserve"> - Be sure that all info on "PRNT" tabs are justified LEFT and CENTER. This simplifies label printing for the MFG team.</t>
  </si>
  <si>
    <t xml:space="preserve"> - Only modify cells shaded in Yellow.  All other cells have formulas driven by yellow shaded cells. </t>
  </si>
  <si>
    <t xml:space="preserve"> - If cell info on "PRNT" tabs is not being used, delete it.  This includes label QTY as well as "0" (zeros).  Again, this helps MFG. </t>
  </si>
  <si>
    <t>Delete unused info from "PRNT" tabs</t>
  </si>
  <si>
    <t>PORTS ON:</t>
  </si>
  <si>
    <t>SIDE OF ENCLOSURE</t>
  </si>
  <si>
    <t>PORT LAYOUT</t>
  </si>
  <si>
    <t>Feel free to change "AF" (Fixed Artifact) to "AR" (Robot Mounted Artifact) under "Add AF/AR Prefix" column as needed</t>
  </si>
  <si>
    <t>ENC</t>
  </si>
  <si>
    <t>INPUT AH/PED NUMBERS HERE</t>
  </si>
  <si>
    <t>Add Correct Prefix</t>
  </si>
  <si>
    <t>SOURCE</t>
  </si>
  <si>
    <t>DISPLAY</t>
  </si>
  <si>
    <t>3100-0234-02</t>
  </si>
  <si>
    <t>Range("A5:A88,D5:6,D17:18,D33:34,D49:50,D65:66,D69:70,D73:74,D77:78,D81:82,D85:86").ClearContents</t>
  </si>
  <si>
    <t xml:space="preserve">-This label file also functions as an example. When ready to use, please use the macro buttons to clear out yellow cells. </t>
  </si>
  <si>
    <t>You MUST save as a .xlsx file type. The label printer does not recognize a macro-enabled Excel file</t>
  </si>
  <si>
    <t>ORN</t>
  </si>
  <si>
    <t>T1XXF1_2</t>
  </si>
  <si>
    <t>CB05-1</t>
  </si>
  <si>
    <t>CB06-1</t>
  </si>
  <si>
    <t>CB-2</t>
  </si>
  <si>
    <t>CB-3</t>
  </si>
  <si>
    <t>CB-4</t>
  </si>
  <si>
    <t>SPARE #1</t>
  </si>
  <si>
    <t>RH MET STAND</t>
  </si>
  <si>
    <t>LH INOS STAND</t>
  </si>
  <si>
    <t>RH INOS STAND</t>
  </si>
  <si>
    <t>RM-1</t>
  </si>
  <si>
    <t>RM-2</t>
  </si>
  <si>
    <t>9628-003</t>
  </si>
  <si>
    <t>ZJ040_R05</t>
  </si>
  <si>
    <t>ZJ040_R06</t>
  </si>
  <si>
    <t>R05 REF STAND</t>
  </si>
  <si>
    <t>R06 REF STAND</t>
  </si>
  <si>
    <t>SPARE #2</t>
  </si>
  <si>
    <t>SPARE #3</t>
  </si>
  <si>
    <t>SPARE #4</t>
  </si>
  <si>
    <t>NFP 3 FRONT PIERCE</t>
  </si>
  <si>
    <t>ZJ040</t>
  </si>
  <si>
    <t>RM SPARE #1</t>
  </si>
  <si>
    <t>RIGHT HAND</t>
  </si>
  <si>
    <t>RM SPARE #2</t>
  </si>
  <si>
    <t>R05</t>
  </si>
  <si>
    <t>SR05-5</t>
  </si>
  <si>
    <t>NT05-1</t>
  </si>
  <si>
    <t>NT05-2</t>
  </si>
  <si>
    <t>R06</t>
  </si>
  <si>
    <t>SR06-6</t>
  </si>
  <si>
    <t>NT06-1</t>
  </si>
  <si>
    <t>NT06-2</t>
  </si>
  <si>
    <t>3100-0136-02</t>
  </si>
  <si>
    <t>3100-0244-02</t>
  </si>
  <si>
    <t>LFFLR-V</t>
  </si>
  <si>
    <t>SF-1</t>
  </si>
  <si>
    <t>SF-3</t>
  </si>
  <si>
    <t>SLA-1</t>
  </si>
  <si>
    <t>SLA-3</t>
  </si>
  <si>
    <t>3100-0372-05</t>
  </si>
  <si>
    <t>RHFLR-V</t>
  </si>
  <si>
    <t>SF-2</t>
  </si>
  <si>
    <t>SF-4</t>
  </si>
  <si>
    <t>SLA-2</t>
  </si>
  <si>
    <t>SLA-4</t>
  </si>
  <si>
    <t>MET-V</t>
  </si>
  <si>
    <t>CB-1</t>
  </si>
  <si>
    <t>MS-1</t>
  </si>
  <si>
    <t>MS-4</t>
  </si>
  <si>
    <t>MS-5</t>
  </si>
  <si>
    <t>3100-0372-10</t>
  </si>
  <si>
    <t>3100-0372-15</t>
  </si>
  <si>
    <t>MS-2</t>
  </si>
  <si>
    <t>MS-3</t>
  </si>
  <si>
    <t>MS-6</t>
  </si>
  <si>
    <t>05-1</t>
  </si>
  <si>
    <t>06-1</t>
  </si>
  <si>
    <t>SR05-1</t>
  </si>
  <si>
    <t>SR06-1</t>
  </si>
  <si>
    <t>3100-0234-30</t>
  </si>
  <si>
    <t>3100-0234-35</t>
  </si>
  <si>
    <t>3100-0234-25</t>
  </si>
  <si>
    <t>3100-0189M-35</t>
  </si>
  <si>
    <t>3100-189M-25</t>
  </si>
  <si>
    <t>PD-2</t>
  </si>
  <si>
    <t>3100-0017-20</t>
  </si>
  <si>
    <t>SYNC</t>
  </si>
  <si>
    <t>3100-0233-20</t>
  </si>
  <si>
    <t>GM ORN</t>
  </si>
  <si>
    <t>ZJ040 - NFP 3 - FRONT PIERCE</t>
  </si>
  <si>
    <t>LHFLR-V STAND</t>
  </si>
  <si>
    <t>RHFLR-V STAND</t>
  </si>
  <si>
    <t>REFRENCE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</si>
</sst>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/dd/yy"/>
  </numFmts>
  <fonts count="18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99"/>
      <name val="Calibri"/>
      <family val="2"/>
      <scheme val="minor"/>
    </font>
    <font>
      <sz val="10"/>
      <color rgb="FF00009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0000FF"/>
      <name val="Calibri"/>
      <family val="2"/>
    </font>
    <font>
      <b/>
      <sz val="14"/>
      <color rgb="FF0000FF"/>
      <name val="Calibri"/>
      <family val="2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/>
      <diagonal/>
    </border>
    <border>
      <left style="medium">
        <color indexed="64"/>
      </left>
      <right style="thin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thin">
        <color theme="4" tint="-0.499984740745262"/>
      </left>
      <right style="medium">
        <color indexed="64"/>
      </right>
      <top style="medium">
        <color theme="4" tint="-0.499984740745262"/>
      </top>
      <bottom style="thin">
        <color auto="1"/>
      </bottom>
      <diagonal/>
    </border>
    <border>
      <left style="medium">
        <color indexed="64"/>
      </left>
      <right style="thin">
        <color theme="4" tint="-0.499984740745262"/>
      </right>
      <top style="thin">
        <color auto="1"/>
      </top>
      <bottom style="medium">
        <color indexed="64"/>
      </bottom>
      <diagonal/>
    </border>
    <border>
      <left style="thin">
        <color theme="4" tint="-0.499984740745262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4" fillId="0" borderId="24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4" borderId="22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2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4" fillId="4" borderId="13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34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22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4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2" fontId="0" fillId="4" borderId="11" xfId="0" quotePrefix="1" applyNumberFormat="1" applyFill="1" applyBorder="1"/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0" fillId="0" borderId="0" xfId="0" quotePrefix="1" applyNumberFormat="1"/>
    <xf numFmtId="2" fontId="0" fillId="0" borderId="0" xfId="0" applyNumberFormat="1"/>
    <xf numFmtId="0" fontId="0" fillId="0" borderId="50" xfId="0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2" fontId="0" fillId="4" borderId="11" xfId="0" quotePrefix="1" applyNumberFormat="1" applyFill="1" applyBorder="1" applyAlignment="1">
      <alignment horizontal="left" vertical="center"/>
    </xf>
    <xf numFmtId="1" fontId="0" fillId="4" borderId="11" xfId="0" quotePrefix="1" applyNumberFormat="1" applyFill="1" applyBorder="1" applyAlignment="1">
      <alignment horizontal="left" vertical="center"/>
    </xf>
    <xf numFmtId="2" fontId="0" fillId="0" borderId="0" xfId="0" quotePrefix="1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" fontId="0" fillId="0" borderId="0" xfId="0" applyNumberFormat="1"/>
    <xf numFmtId="0" fontId="10" fillId="0" borderId="0" xfId="0" applyFont="1"/>
    <xf numFmtId="2" fontId="1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1" xfId="0" applyFont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" fillId="0" borderId="11" xfId="0" applyFont="1" applyBorder="1" applyAlignment="1">
      <alignment horizontal="left" vertical="center"/>
    </xf>
    <xf numFmtId="2" fontId="1" fillId="0" borderId="1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8" xfId="0" applyBorder="1" applyAlignment="1">
      <alignment vertical="center"/>
    </xf>
    <xf numFmtId="0" fontId="14" fillId="0" borderId="5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0" fontId="0" fillId="0" borderId="10" xfId="0" applyBorder="1" applyAlignment="1">
      <alignment vertical="center"/>
    </xf>
    <xf numFmtId="0" fontId="14" fillId="0" borderId="51" xfId="0" applyFont="1" applyBorder="1" applyAlignment="1">
      <alignment vertical="center"/>
    </xf>
    <xf numFmtId="0" fontId="11" fillId="0" borderId="0" xfId="0" quotePrefix="1" applyFont="1"/>
    <xf numFmtId="0" fontId="17" fillId="0" borderId="0" xfId="0" applyFont="1"/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9FBBE5"/>
        </patternFill>
      </fill>
    </dxf>
    <dxf>
      <fill>
        <patternFill>
          <bgColor rgb="FFFF89F9"/>
        </patternFill>
      </fill>
    </dxf>
  </dxfs>
  <tableStyles count="0" defaultTableStyle="TableStyleMedium2" defaultPivotStyle="PivotStyleLight16"/>
  <colors>
    <mruColors>
      <color rgb="FFFFFFCC"/>
      <color rgb="FFB58629"/>
      <color rgb="FFFFFFFF"/>
      <color rgb="FFEDFF01"/>
      <color rgb="FFFF89F9"/>
      <color rgb="FF9FBBE5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504824</xdr:colOff>
      <xdr:row>8</xdr:row>
      <xdr:rowOff>95250</xdr:rowOff>
    </xdr:from>
    <xdr:to>
      <xdr:col>12</xdr:col>
      <xdr:colOff>316230</xdr:colOff>
      <xdr:row>17</xdr:row>
      <xdr:rowOff>94092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49" y="1590675"/>
          <a:ext cx="2247901" cy="1602852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</xdr:row>
      <xdr:rowOff>85726</xdr:rowOff>
    </xdr:from>
    <xdr:to>
      <xdr:col>17</xdr:col>
      <xdr:colOff>167641</xdr:colOff>
      <xdr:row>17</xdr:row>
      <xdr:rowOff>60572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8526" y="1581151"/>
          <a:ext cx="2609850" cy="1571236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333375</xdr:colOff>
      <xdr:row>8</xdr:row>
      <xdr:rowOff>9526</xdr:rowOff>
    </xdr:from>
    <xdr:to>
      <xdr:col>22</xdr:col>
      <xdr:colOff>129540</xdr:colOff>
      <xdr:row>18</xdr:row>
      <xdr:rowOff>50961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30300" y="1504951"/>
          <a:ext cx="2847975" cy="1830230"/>
        </a:xfrm>
        <a:prstGeom prst="rect">
          <a:avLst/>
        </a:prstGeom>
      </xdr:spPr>
    </xdr:pic>
    <xdr:clientData/>
  </xdr:twoCellAnchor>
  <xdr:twoCellAnchor>
    <xdr:from>
      <xdr:col>11</xdr:col>
      <xdr:colOff>561975</xdr:colOff>
      <xdr:row>14</xdr:row>
      <xdr:rowOff>142875</xdr:rowOff>
    </xdr:from>
    <xdr:to>
      <xdr:col>13</xdr:col>
      <xdr:colOff>9525</xdr:colOff>
      <xdr:row>14</xdr:row>
      <xdr:rowOff>147604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0401300" y="2676525"/>
          <a:ext cx="666750" cy="4729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14</xdr:row>
      <xdr:rowOff>109504</xdr:rowOff>
    </xdr:from>
    <xdr:to>
      <xdr:col>17</xdr:col>
      <xdr:colOff>428625</xdr:colOff>
      <xdr:row>15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2573000" y="2643154"/>
          <a:ext cx="1352550" cy="90521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457200</xdr:colOff>
          <xdr:row>3</xdr:row>
          <xdr:rowOff>95250</xdr:rowOff>
        </xdr:from>
        <xdr:to>
          <xdr:col>23</xdr:col>
          <xdr:colOff>209550</xdr:colOff>
          <xdr:row>6</xdr:row>
          <xdr:rowOff>19050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CLEAR INPUT CELLS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180975</xdr:colOff>
          <xdr:row>0</xdr:row>
          <xdr:rowOff>114300</xdr:rowOff>
        </xdr:from>
        <xdr:to>
          <xdr:col>8</xdr:col>
          <xdr:colOff>9525</xdr:colOff>
          <xdr:row>2</xdr:row>
          <xdr:rowOff>114300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8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CLEAR SEGMENT 1 DEVICES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71438</xdr:colOff>
      <xdr:row>22</xdr:row>
      <xdr:rowOff>130968</xdr:rowOff>
    </xdr:from>
    <xdr:to>
      <xdr:col>15</xdr:col>
      <xdr:colOff>964406</xdr:colOff>
      <xdr:row>22</xdr:row>
      <xdr:rowOff>130968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7872413" y="4950618"/>
          <a:ext cx="9579768" cy="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511149</xdr:colOff>
      <xdr:row>23</xdr:row>
      <xdr:rowOff>40276</xdr:rowOff>
    </xdr:from>
    <xdr:to>
      <xdr:col>15</xdr:col>
      <xdr:colOff>850991</xdr:colOff>
      <xdr:row>28</xdr:row>
      <xdr:rowOff>181491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2520" y="5287190"/>
          <a:ext cx="1459166" cy="1394977"/>
        </a:xfrm>
        <a:prstGeom prst="rect">
          <a:avLst/>
        </a:prstGeom>
      </xdr:spPr>
    </xdr:pic>
    <xdr:clientData/>
  </xdr:twoCellAnchor>
  <xdr:twoCellAnchor editAs="oneCell">
    <xdr:from>
      <xdr:col>7</xdr:col>
      <xdr:colOff>309562</xdr:colOff>
      <xdr:row>14</xdr:row>
      <xdr:rowOff>35719</xdr:rowOff>
    </xdr:from>
    <xdr:to>
      <xdr:col>7</xdr:col>
      <xdr:colOff>817147</xdr:colOff>
      <xdr:row>15</xdr:row>
      <xdr:rowOff>207797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0537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7</xdr:col>
      <xdr:colOff>367770</xdr:colOff>
      <xdr:row>20</xdr:row>
      <xdr:rowOff>14552</xdr:rowOff>
    </xdr:from>
    <xdr:to>
      <xdr:col>7</xdr:col>
      <xdr:colOff>816232</xdr:colOff>
      <xdr:row>21</xdr:row>
      <xdr:rowOff>220088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8745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8</xdr:col>
      <xdr:colOff>309562</xdr:colOff>
      <xdr:row>14</xdr:row>
      <xdr:rowOff>35719</xdr:rowOff>
    </xdr:from>
    <xdr:to>
      <xdr:col>8</xdr:col>
      <xdr:colOff>817147</xdr:colOff>
      <xdr:row>15</xdr:row>
      <xdr:rowOff>207797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387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8</xdr:col>
      <xdr:colOff>367770</xdr:colOff>
      <xdr:row>20</xdr:row>
      <xdr:rowOff>14552</xdr:rowOff>
    </xdr:from>
    <xdr:to>
      <xdr:col>8</xdr:col>
      <xdr:colOff>816232</xdr:colOff>
      <xdr:row>21</xdr:row>
      <xdr:rowOff>220088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4595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14</xdr:row>
      <xdr:rowOff>35719</xdr:rowOff>
    </xdr:from>
    <xdr:to>
      <xdr:col>9</xdr:col>
      <xdr:colOff>787620</xdr:colOff>
      <xdr:row>15</xdr:row>
      <xdr:rowOff>207797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5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9</xdr:col>
      <xdr:colOff>343958</xdr:colOff>
      <xdr:row>20</xdr:row>
      <xdr:rowOff>14552</xdr:rowOff>
    </xdr:from>
    <xdr:to>
      <xdr:col>9</xdr:col>
      <xdr:colOff>784800</xdr:colOff>
      <xdr:row>21</xdr:row>
      <xdr:rowOff>220088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6633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285751</xdr:colOff>
      <xdr:row>14</xdr:row>
      <xdr:rowOff>35719</xdr:rowOff>
    </xdr:from>
    <xdr:to>
      <xdr:col>10</xdr:col>
      <xdr:colOff>787621</xdr:colOff>
      <xdr:row>15</xdr:row>
      <xdr:rowOff>207797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44276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10</xdr:col>
      <xdr:colOff>343959</xdr:colOff>
      <xdr:row>20</xdr:row>
      <xdr:rowOff>14552</xdr:rowOff>
    </xdr:from>
    <xdr:to>
      <xdr:col>10</xdr:col>
      <xdr:colOff>784801</xdr:colOff>
      <xdr:row>21</xdr:row>
      <xdr:rowOff>220088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2484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285750</xdr:colOff>
      <xdr:row>14</xdr:row>
      <xdr:rowOff>35719</xdr:rowOff>
    </xdr:from>
    <xdr:to>
      <xdr:col>11</xdr:col>
      <xdr:colOff>787620</xdr:colOff>
      <xdr:row>15</xdr:row>
      <xdr:rowOff>207797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30125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11</xdr:col>
      <xdr:colOff>343958</xdr:colOff>
      <xdr:row>20</xdr:row>
      <xdr:rowOff>14552</xdr:rowOff>
    </xdr:from>
    <xdr:to>
      <xdr:col>11</xdr:col>
      <xdr:colOff>784800</xdr:colOff>
      <xdr:row>21</xdr:row>
      <xdr:rowOff>220088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8333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12</xdr:col>
      <xdr:colOff>321469</xdr:colOff>
      <xdr:row>14</xdr:row>
      <xdr:rowOff>35719</xdr:rowOff>
    </xdr:from>
    <xdr:to>
      <xdr:col>12</xdr:col>
      <xdr:colOff>821434</xdr:colOff>
      <xdr:row>15</xdr:row>
      <xdr:rowOff>207797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1694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12</xdr:col>
      <xdr:colOff>379677</xdr:colOff>
      <xdr:row>20</xdr:row>
      <xdr:rowOff>14552</xdr:rowOff>
    </xdr:from>
    <xdr:to>
      <xdr:col>12</xdr:col>
      <xdr:colOff>820519</xdr:colOff>
      <xdr:row>21</xdr:row>
      <xdr:rowOff>220088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9902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13</xdr:col>
      <xdr:colOff>297656</xdr:colOff>
      <xdr:row>14</xdr:row>
      <xdr:rowOff>35719</xdr:rowOff>
    </xdr:from>
    <xdr:to>
      <xdr:col>13</xdr:col>
      <xdr:colOff>801431</xdr:colOff>
      <xdr:row>15</xdr:row>
      <xdr:rowOff>207797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3731" y="2874169"/>
          <a:ext cx="503775" cy="415918"/>
        </a:xfrm>
        <a:prstGeom prst="rect">
          <a:avLst/>
        </a:prstGeom>
      </xdr:spPr>
    </xdr:pic>
    <xdr:clientData/>
  </xdr:twoCellAnchor>
  <xdr:twoCellAnchor editAs="oneCell">
    <xdr:from>
      <xdr:col>13</xdr:col>
      <xdr:colOff>355864</xdr:colOff>
      <xdr:row>20</xdr:row>
      <xdr:rowOff>14552</xdr:rowOff>
    </xdr:from>
    <xdr:to>
      <xdr:col>13</xdr:col>
      <xdr:colOff>800516</xdr:colOff>
      <xdr:row>21</xdr:row>
      <xdr:rowOff>220088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71939" y="4338902"/>
          <a:ext cx="444652" cy="455091"/>
        </a:xfrm>
        <a:prstGeom prst="rect">
          <a:avLst/>
        </a:prstGeom>
      </xdr:spPr>
    </xdr:pic>
    <xdr:clientData/>
  </xdr:twoCellAnchor>
  <xdr:twoCellAnchor editAs="oneCell">
    <xdr:from>
      <xdr:col>7</xdr:col>
      <xdr:colOff>391217</xdr:colOff>
      <xdr:row>32</xdr:row>
      <xdr:rowOff>13607</xdr:rowOff>
    </xdr:from>
    <xdr:to>
      <xdr:col>7</xdr:col>
      <xdr:colOff>821529</xdr:colOff>
      <xdr:row>33</xdr:row>
      <xdr:rowOff>202613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1717" y="7334250"/>
          <a:ext cx="426502" cy="432029"/>
        </a:xfrm>
        <a:prstGeom prst="rect">
          <a:avLst/>
        </a:prstGeom>
      </xdr:spPr>
    </xdr:pic>
    <xdr:clientData/>
  </xdr:twoCellAnchor>
  <xdr:twoCellAnchor editAs="oneCell">
    <xdr:from>
      <xdr:col>8</xdr:col>
      <xdr:colOff>370051</xdr:colOff>
      <xdr:row>32</xdr:row>
      <xdr:rowOff>13607</xdr:rowOff>
    </xdr:from>
    <xdr:to>
      <xdr:col>8</xdr:col>
      <xdr:colOff>798685</xdr:colOff>
      <xdr:row>33</xdr:row>
      <xdr:rowOff>202613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9122" y="7334250"/>
          <a:ext cx="428634" cy="432029"/>
        </a:xfrm>
        <a:prstGeom prst="rect">
          <a:avLst/>
        </a:prstGeom>
      </xdr:spPr>
    </xdr:pic>
    <xdr:clientData/>
  </xdr:twoCellAnchor>
  <xdr:twoCellAnchor editAs="oneCell">
    <xdr:from>
      <xdr:col>9</xdr:col>
      <xdr:colOff>338301</xdr:colOff>
      <xdr:row>32</xdr:row>
      <xdr:rowOff>13607</xdr:rowOff>
    </xdr:from>
    <xdr:to>
      <xdr:col>9</xdr:col>
      <xdr:colOff>758469</xdr:colOff>
      <xdr:row>33</xdr:row>
      <xdr:rowOff>202613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25944" y="7334250"/>
          <a:ext cx="420168" cy="432029"/>
        </a:xfrm>
        <a:prstGeom prst="rect">
          <a:avLst/>
        </a:prstGeom>
      </xdr:spPr>
    </xdr:pic>
    <xdr:clientData/>
  </xdr:twoCellAnchor>
  <xdr:twoCellAnchor editAs="oneCell">
    <xdr:from>
      <xdr:col>10</xdr:col>
      <xdr:colOff>325070</xdr:colOff>
      <xdr:row>32</xdr:row>
      <xdr:rowOff>13607</xdr:rowOff>
    </xdr:from>
    <xdr:to>
      <xdr:col>10</xdr:col>
      <xdr:colOff>743529</xdr:colOff>
      <xdr:row>33</xdr:row>
      <xdr:rowOff>202613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01284" y="7334250"/>
          <a:ext cx="422269" cy="432029"/>
        </a:xfrm>
        <a:prstGeom prst="rect">
          <a:avLst/>
        </a:prstGeom>
      </xdr:spPr>
    </xdr:pic>
    <xdr:clientData/>
  </xdr:twoCellAnchor>
  <xdr:twoCellAnchor editAs="oneCell">
    <xdr:from>
      <xdr:col>7</xdr:col>
      <xdr:colOff>357187</xdr:colOff>
      <xdr:row>26</xdr:row>
      <xdr:rowOff>0</xdr:rowOff>
    </xdr:from>
    <xdr:to>
      <xdr:col>7</xdr:col>
      <xdr:colOff>774449</xdr:colOff>
      <xdr:row>27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8162" y="5810250"/>
          <a:ext cx="415357" cy="438150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26</xdr:row>
      <xdr:rowOff>0</xdr:rowOff>
    </xdr:from>
    <xdr:to>
      <xdr:col>8</xdr:col>
      <xdr:colOff>744922</xdr:colOff>
      <xdr:row>27</xdr:row>
      <xdr:rowOff>190500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20200" y="5810250"/>
          <a:ext cx="415357" cy="438150"/>
        </a:xfrm>
        <a:prstGeom prst="rect">
          <a:avLst/>
        </a:prstGeom>
      </xdr:spPr>
    </xdr:pic>
    <xdr:clientData/>
  </xdr:twoCellAnchor>
  <xdr:twoCellAnchor>
    <xdr:from>
      <xdr:col>16</xdr:col>
      <xdr:colOff>78442</xdr:colOff>
      <xdr:row>6</xdr:row>
      <xdr:rowOff>168089</xdr:rowOff>
    </xdr:from>
    <xdr:to>
      <xdr:col>23</xdr:col>
      <xdr:colOff>537883</xdr:colOff>
      <xdr:row>35</xdr:row>
      <xdr:rowOff>134471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17454194" y="1200823"/>
          <a:ext cx="4676438" cy="7324613"/>
        </a:xfrm>
        <a:prstGeom prst="rect">
          <a:avLst/>
        </a:prstGeom>
        <a:solidFill>
          <a:sysClr val="window" lastClr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 b="1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14</xdr:col>
      <xdr:colOff>294255</xdr:colOff>
      <xdr:row>14</xdr:row>
      <xdr:rowOff>35719</xdr:rowOff>
    </xdr:from>
    <xdr:to>
      <xdr:col>14</xdr:col>
      <xdr:colOff>798030</xdr:colOff>
      <xdr:row>15</xdr:row>
      <xdr:rowOff>207797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24755" y="2947648"/>
          <a:ext cx="503775" cy="413196"/>
        </a:xfrm>
        <a:prstGeom prst="rect">
          <a:avLst/>
        </a:prstGeom>
      </xdr:spPr>
    </xdr:pic>
    <xdr:clientData/>
  </xdr:twoCellAnchor>
  <xdr:twoCellAnchor editAs="oneCell">
    <xdr:from>
      <xdr:col>14</xdr:col>
      <xdr:colOff>352463</xdr:colOff>
      <xdr:row>20</xdr:row>
      <xdr:rowOff>14552</xdr:rowOff>
    </xdr:from>
    <xdr:to>
      <xdr:col>14</xdr:col>
      <xdr:colOff>797115</xdr:colOff>
      <xdr:row>21</xdr:row>
      <xdr:rowOff>220088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82963" y="4396052"/>
          <a:ext cx="444652" cy="452370"/>
        </a:xfrm>
        <a:prstGeom prst="rect">
          <a:avLst/>
        </a:prstGeom>
      </xdr:spPr>
    </xdr:pic>
    <xdr:clientData/>
  </xdr:twoCellAnchor>
  <xdr:twoCellAnchor editAs="oneCell">
    <xdr:from>
      <xdr:col>15</xdr:col>
      <xdr:colOff>270443</xdr:colOff>
      <xdr:row>14</xdr:row>
      <xdr:rowOff>35719</xdr:rowOff>
    </xdr:from>
    <xdr:to>
      <xdr:col>15</xdr:col>
      <xdr:colOff>778028</xdr:colOff>
      <xdr:row>15</xdr:row>
      <xdr:rowOff>207797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89514" y="2947648"/>
          <a:ext cx="503775" cy="413196"/>
        </a:xfrm>
        <a:prstGeom prst="rect">
          <a:avLst/>
        </a:prstGeom>
      </xdr:spPr>
    </xdr:pic>
    <xdr:clientData/>
  </xdr:twoCellAnchor>
  <xdr:twoCellAnchor editAs="oneCell">
    <xdr:from>
      <xdr:col>15</xdr:col>
      <xdr:colOff>328651</xdr:colOff>
      <xdr:row>20</xdr:row>
      <xdr:rowOff>14552</xdr:rowOff>
    </xdr:from>
    <xdr:to>
      <xdr:col>15</xdr:col>
      <xdr:colOff>775208</xdr:colOff>
      <xdr:row>21</xdr:row>
      <xdr:rowOff>220088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47722" y="4396052"/>
          <a:ext cx="444652" cy="45237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190500</xdr:colOff>
          <xdr:row>6</xdr:row>
          <xdr:rowOff>57150</xdr:rowOff>
        </xdr:from>
        <xdr:to>
          <xdr:col>5</xdr:col>
          <xdr:colOff>1162050</xdr:colOff>
          <xdr:row>8</xdr:row>
          <xdr:rowOff>57150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CLEAR PORT LAYOUT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9</xdr:col>
      <xdr:colOff>305550</xdr:colOff>
      <xdr:row>26</xdr:row>
      <xdr:rowOff>0</xdr:rowOff>
    </xdr:from>
    <xdr:to>
      <xdr:col>9</xdr:col>
      <xdr:colOff>720907</xdr:colOff>
      <xdr:row>27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9A1F242-545F-57B1-4D03-2914A3FC6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50949" y="6067313"/>
          <a:ext cx="415357" cy="448683"/>
        </a:xfrm>
        <a:prstGeom prst="rect">
          <a:avLst/>
        </a:prstGeom>
      </xdr:spPr>
    </xdr:pic>
    <xdr:clientData/>
  </xdr:twoCellAnchor>
  <xdr:twoCellAnchor editAs="oneCell">
    <xdr:from>
      <xdr:col>10</xdr:col>
      <xdr:colOff>281738</xdr:colOff>
      <xdr:row>26</xdr:row>
      <xdr:rowOff>0</xdr:rowOff>
    </xdr:from>
    <xdr:to>
      <xdr:col>10</xdr:col>
      <xdr:colOff>699000</xdr:colOff>
      <xdr:row>27</xdr:row>
      <xdr:rowOff>190500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1312E11-A6D8-F0A9-A806-0FD5689E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2902" y="6067313"/>
          <a:ext cx="415357" cy="448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179351</xdr:colOff>
      <xdr:row>6</xdr:row>
      <xdr:rowOff>103276</xdr:rowOff>
    </xdr:from>
    <xdr:to>
      <xdr:col>23</xdr:col>
      <xdr:colOff>449874</xdr:colOff>
      <xdr:row>33</xdr:row>
      <xdr:rowOff>199844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371044F-883E-CA22-8408-8A023E97B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6331552" y="2359561"/>
          <a:ext cx="6936527" cy="4489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312420</xdr:colOff>
      <xdr:row>4</xdr:row>
      <xdr:rowOff>102804</xdr:rowOff>
    </xdr:from>
    <xdr:ext cx="1291814" cy="66558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76002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20</xdr:row>
      <xdr:rowOff>102804</xdr:rowOff>
    </xdr:from>
    <xdr:ext cx="1291814" cy="665583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76002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36</xdr:row>
      <xdr:rowOff>102804</xdr:rowOff>
    </xdr:from>
    <xdr:ext cx="1291814" cy="66558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3379404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52</xdr:row>
      <xdr:rowOff>102804</xdr:rowOff>
    </xdr:from>
    <xdr:ext cx="1291814" cy="66558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599877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68</xdr:row>
      <xdr:rowOff>102804</xdr:rowOff>
    </xdr:from>
    <xdr:ext cx="1291814" cy="665583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1123752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84</xdr:row>
      <xdr:rowOff>102804</xdr:rowOff>
    </xdr:from>
    <xdr:ext cx="1291814" cy="665583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13856904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100</xdr:row>
      <xdr:rowOff>102804</xdr:rowOff>
    </xdr:from>
    <xdr:ext cx="1291814" cy="665583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1647627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116</xdr:row>
      <xdr:rowOff>102804</xdr:rowOff>
    </xdr:from>
    <xdr:ext cx="1291814" cy="665583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19095654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132</xdr:row>
      <xdr:rowOff>102804</xdr:rowOff>
    </xdr:from>
    <xdr:ext cx="1291814" cy="665583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21715029"/>
          <a:ext cx="1291814" cy="665583"/>
        </a:xfrm>
        <a:prstGeom prst="rect">
          <a:avLst/>
        </a:prstGeom>
      </xdr:spPr>
    </xdr:pic>
    <xdr:clientData/>
  </xdr:oneCellAnchor>
  <xdr:oneCellAnchor>
    <xdr:from>
      <xdr:col>2</xdr:col>
      <xdr:colOff>312420</xdr:colOff>
      <xdr:row>148</xdr:row>
      <xdr:rowOff>102804</xdr:rowOff>
    </xdr:from>
    <xdr:ext cx="1291814" cy="665583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619" t="1522" r="16944" b="47541"/>
        <a:stretch/>
      </xdr:blipFill>
      <xdr:spPr>
        <a:xfrm>
          <a:off x="2312670" y="24334404"/>
          <a:ext cx="1291814" cy="6655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3AB5-FE17-4039-9515-9AE6BE33C8BA}">
  <sheetPr codeName="Sheet5">
    <tabColor rgb="FFFFFFFF"/>
  </sheetPr>
  <dimension ref="A1:N21"/>
  <sheetViews>
    <sheetView view="pageBreakPreview" zoomScale="60" zoomScaleNormal="100" workbookViewId="0">
      <selection activeCell="O25" sqref="O25"/>
    </sheetView>
  </sheetViews>
  <sheetFormatPr defaultRowHeight="12.75" x14ac:dyDescent="0.2"/>
  <cols>
    <col min="1" max="1" width="22.5703125" bestFit="1" customWidth="1"/>
    <col min="2" max="2" width="27" customWidth="1"/>
    <col min="3" max="3" width="24.85546875" bestFit="1" customWidth="1"/>
  </cols>
  <sheetData>
    <row r="1" spans="1:14" ht="15" x14ac:dyDescent="0.2">
      <c r="A1" s="127" t="s">
        <v>107</v>
      </c>
      <c r="B1" s="128" t="s">
        <v>109</v>
      </c>
    </row>
    <row r="2" spans="1:14" ht="15" x14ac:dyDescent="0.2">
      <c r="A2" s="127" t="s">
        <v>108</v>
      </c>
      <c r="B2" s="128" t="s">
        <v>109</v>
      </c>
    </row>
    <row r="3" spans="1:14" ht="15" x14ac:dyDescent="0.2">
      <c r="A3" s="127" t="s">
        <v>114</v>
      </c>
      <c r="B3" s="128" t="s">
        <v>134</v>
      </c>
    </row>
    <row r="4" spans="1:14" ht="15" x14ac:dyDescent="0.2">
      <c r="A4" s="127" t="s">
        <v>115</v>
      </c>
      <c r="B4" s="128" t="s">
        <v>147</v>
      </c>
    </row>
    <row r="5" spans="1:14" ht="15" x14ac:dyDescent="0.2">
      <c r="A5" s="127" t="s">
        <v>112</v>
      </c>
      <c r="B5" s="128" t="s">
        <v>156</v>
      </c>
    </row>
    <row r="6" spans="1:14" ht="15" x14ac:dyDescent="0.2">
      <c r="A6" s="127" t="s">
        <v>111</v>
      </c>
      <c r="B6" s="128" t="s">
        <v>155</v>
      </c>
    </row>
    <row r="7" spans="1:14" ht="15.75" x14ac:dyDescent="0.25">
      <c r="A7" s="127" t="s">
        <v>110</v>
      </c>
      <c r="B7" s="128" t="s">
        <v>135</v>
      </c>
      <c r="N7" s="132" t="s">
        <v>120</v>
      </c>
    </row>
    <row r="10" spans="1:14" ht="15" x14ac:dyDescent="0.2">
      <c r="A10" s="130" t="s">
        <v>113</v>
      </c>
      <c r="B10" s="129" t="str">
        <f>CONCATENATE(B2," ", B3, " - ", B5, " - ", B6, " - ", B7)</f>
        <v>GM ORN - ZJ040 - NFP 3 FRONT PIERCE - T1XXF1_2</v>
      </c>
    </row>
    <row r="14" spans="1:14" ht="15" x14ac:dyDescent="0.25">
      <c r="A14" s="131" t="s">
        <v>116</v>
      </c>
    </row>
    <row r="15" spans="1:14" ht="15" x14ac:dyDescent="0.25">
      <c r="A15" s="131" t="s">
        <v>117</v>
      </c>
    </row>
    <row r="16" spans="1:14" ht="15" x14ac:dyDescent="0.25">
      <c r="A16" s="131" t="s">
        <v>119</v>
      </c>
    </row>
    <row r="17" spans="1:1" ht="15" x14ac:dyDescent="0.25">
      <c r="A17" s="131" t="s">
        <v>118</v>
      </c>
    </row>
    <row r="18" spans="1:1" ht="15" x14ac:dyDescent="0.25">
      <c r="A18" s="147" t="s">
        <v>132</v>
      </c>
    </row>
    <row r="21" spans="1:1" ht="36" x14ac:dyDescent="0.55000000000000004">
      <c r="A21" s="148" t="s">
        <v>133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F802-9124-44F1-9E72-EC7BBAF3BBF5}">
  <sheetPr codeName="Sheet1">
    <tabColor rgb="FF92D050"/>
  </sheetPr>
  <dimension ref="A1:T48"/>
  <sheetViews>
    <sheetView view="pageBreakPreview" zoomScale="60" zoomScaleNormal="85" workbookViewId="0">
      <selection activeCell="F45" sqref="F45"/>
    </sheetView>
  </sheetViews>
  <sheetFormatPr defaultColWidth="9.140625" defaultRowHeight="12.75" x14ac:dyDescent="0.2"/>
  <cols>
    <col min="1" max="1" width="18" style="8" bestFit="1" customWidth="1"/>
    <col min="2" max="2" width="15.42578125" style="8" bestFit="1" customWidth="1"/>
    <col min="3" max="3" width="11.7109375" style="8" customWidth="1"/>
    <col min="4" max="4" width="12.42578125" style="8" customWidth="1"/>
    <col min="5" max="5" width="12.140625" style="4" bestFit="1" customWidth="1"/>
    <col min="6" max="6" width="10.7109375" style="4" customWidth="1"/>
    <col min="7" max="7" width="13.5703125" style="4" bestFit="1" customWidth="1"/>
    <col min="8" max="8" width="13.5703125" style="4" customWidth="1"/>
    <col min="9" max="9" width="12.140625" style="4" bestFit="1" customWidth="1"/>
    <col min="10" max="10" width="9.140625" style="8"/>
    <col min="11" max="11" width="19.85546875" style="8" customWidth="1"/>
    <col min="12" max="12" width="15.42578125" style="8" bestFit="1" customWidth="1"/>
    <col min="13" max="13" width="11.7109375" style="8" customWidth="1"/>
    <col min="14" max="14" width="12.42578125" style="8" customWidth="1"/>
    <col min="15" max="15" width="12.140625" style="4" bestFit="1" customWidth="1"/>
    <col min="16" max="16" width="13.5703125" style="4" customWidth="1"/>
    <col min="17" max="17" width="12.140625" style="4" bestFit="1" customWidth="1"/>
    <col min="18" max="19" width="9.140625" style="4"/>
    <col min="20" max="20" width="13.140625" style="4" bestFit="1" customWidth="1"/>
    <col min="21" max="16384" width="9.140625" style="4"/>
  </cols>
  <sheetData>
    <row r="1" spans="1:20" x14ac:dyDescent="0.2">
      <c r="A1" s="20" t="s">
        <v>53</v>
      </c>
      <c r="B1" s="20" t="str">
        <f>'Cell Info'!B4</f>
        <v>9628-003</v>
      </c>
      <c r="C1" s="16"/>
      <c r="D1" s="4"/>
      <c r="I1" s="8"/>
      <c r="J1" s="4"/>
      <c r="K1" s="20" t="s">
        <v>53</v>
      </c>
      <c r="L1" s="20" t="str">
        <f>B1</f>
        <v>9628-003</v>
      </c>
      <c r="M1" s="16"/>
      <c r="N1" s="4"/>
      <c r="Q1" s="8"/>
    </row>
    <row r="2" spans="1:20" x14ac:dyDescent="0.2">
      <c r="A2" s="20" t="s">
        <v>54</v>
      </c>
      <c r="B2" s="20" t="str">
        <f>'Cell Info'!B10</f>
        <v>GM ORN - ZJ040 - NFP 3 FRONT PIERCE - T1XXF1_2</v>
      </c>
      <c r="C2" s="16"/>
      <c r="D2" s="4"/>
      <c r="I2" s="8"/>
      <c r="J2" s="4"/>
      <c r="K2" s="20" t="s">
        <v>54</v>
      </c>
      <c r="L2" s="20" t="str">
        <f>B2</f>
        <v>GM ORN - ZJ040 - NFP 3 FRONT PIERCE - T1XXF1_2</v>
      </c>
      <c r="M2" s="16"/>
      <c r="N2" s="4"/>
      <c r="Q2" s="8"/>
    </row>
    <row r="3" spans="1:20" ht="13.5" thickBot="1" x14ac:dyDescent="0.25">
      <c r="D3" s="4"/>
      <c r="I3" s="8"/>
      <c r="J3" s="4"/>
      <c r="N3" s="4"/>
      <c r="Q3" s="8"/>
    </row>
    <row r="4" spans="1:20" s="16" customFormat="1" ht="26.25" thickBot="1" x14ac:dyDescent="0.25">
      <c r="A4" s="19" t="s">
        <v>52</v>
      </c>
      <c r="B4" s="19" t="s">
        <v>36</v>
      </c>
      <c r="C4" s="19" t="s">
        <v>37</v>
      </c>
      <c r="D4" s="19" t="s">
        <v>38</v>
      </c>
      <c r="E4" s="19" t="s">
        <v>39</v>
      </c>
      <c r="F4" s="49" t="s">
        <v>40</v>
      </c>
      <c r="G4" s="19" t="s">
        <v>49</v>
      </c>
      <c r="H4" s="19" t="s">
        <v>50</v>
      </c>
      <c r="I4" s="19" t="s">
        <v>51</v>
      </c>
      <c r="J4" s="3"/>
      <c r="K4" s="21" t="s">
        <v>52</v>
      </c>
      <c r="L4" s="22" t="s">
        <v>36</v>
      </c>
      <c r="M4" s="22" t="s">
        <v>37</v>
      </c>
      <c r="N4" s="22" t="s">
        <v>38</v>
      </c>
      <c r="O4" s="22" t="s">
        <v>39</v>
      </c>
      <c r="P4" s="22" t="s">
        <v>50</v>
      </c>
      <c r="Q4" s="43" t="s">
        <v>51</v>
      </c>
      <c r="T4" s="109" t="s">
        <v>97</v>
      </c>
    </row>
    <row r="5" spans="1:20" ht="18" customHeight="1" x14ac:dyDescent="0.2">
      <c r="A5" s="56" t="s">
        <v>160</v>
      </c>
      <c r="B5" s="57" t="s">
        <v>136</v>
      </c>
      <c r="C5" s="57" t="s">
        <v>161</v>
      </c>
      <c r="D5" s="55" t="s">
        <v>168</v>
      </c>
      <c r="E5" s="50" t="s">
        <v>1</v>
      </c>
      <c r="F5" s="57">
        <v>1</v>
      </c>
      <c r="G5" s="50" t="str">
        <f>VLOOKUP(MID(C5,1,2),LOOKUP!$A:$B,2,FALSE)&amp;MID(C5,FIND("-",C5)+1,3)</f>
        <v>IS5</v>
      </c>
      <c r="H5" s="51" t="str">
        <f t="shared" ref="H5:H8" si="0">IF(E5="POWER","PWR","1G")&amp;"-SP"&amp;F5&amp;"-"&amp;G5</f>
        <v>PWR-SP1-IS5</v>
      </c>
      <c r="I5" s="59">
        <v>2</v>
      </c>
      <c r="J5" s="3"/>
      <c r="K5" s="105" t="str">
        <f t="shared" ref="K5:K6" si="1">A5</f>
        <v>R05</v>
      </c>
      <c r="L5" s="78" t="str">
        <f t="shared" ref="L5:L6" si="2">B5</f>
        <v>CB05-1</v>
      </c>
      <c r="M5" s="78" t="str">
        <f t="shared" ref="M5:M6" si="3">C5</f>
        <v>SR05-5</v>
      </c>
      <c r="N5" s="79" t="str">
        <f t="shared" ref="N5:N6" si="4">D5</f>
        <v>3100-0136-02</v>
      </c>
      <c r="O5" s="78" t="str">
        <f t="shared" ref="O5:O6" si="5">E5</f>
        <v>POWER</v>
      </c>
      <c r="P5" s="78" t="str">
        <f t="shared" ref="P5:P6" si="6">H5</f>
        <v>PWR-SP1-IS5</v>
      </c>
      <c r="Q5" s="106">
        <f t="shared" ref="Q5:Q6" si="7">I5</f>
        <v>2</v>
      </c>
      <c r="T5" s="110" t="str">
        <f>IF(C5=0, "",C5)</f>
        <v>SR05-5</v>
      </c>
    </row>
    <row r="6" spans="1:20" ht="18" customHeight="1" thickBot="1" x14ac:dyDescent="0.25">
      <c r="A6" s="40" t="str">
        <f>A5</f>
        <v>R05</v>
      </c>
      <c r="B6" s="33" t="str">
        <f>B5</f>
        <v>CB05-1</v>
      </c>
      <c r="C6" s="33" t="str">
        <f>C5</f>
        <v>SR05-5</v>
      </c>
      <c r="D6" s="32" t="str">
        <f>"3100-0229-"&amp;MID(D5,11,2)</f>
        <v>3100-0229-02</v>
      </c>
      <c r="E6" s="33" t="s">
        <v>28</v>
      </c>
      <c r="F6" s="33">
        <f>F5</f>
        <v>1</v>
      </c>
      <c r="G6" s="33" t="str">
        <f>VLOOKUP(MID(C6,1,2),LOOKUP!$A:$B,2,FALSE)&amp;MID(C6,FIND("-",C6)+1,3)</f>
        <v>IS5</v>
      </c>
      <c r="H6" s="32" t="str">
        <f t="shared" si="0"/>
        <v>1G-SP1-IS5</v>
      </c>
      <c r="I6" s="58">
        <v>2</v>
      </c>
      <c r="J6" s="4"/>
      <c r="K6" s="107" t="str">
        <f t="shared" si="1"/>
        <v>R05</v>
      </c>
      <c r="L6" s="81" t="str">
        <f t="shared" si="2"/>
        <v>CB05-1</v>
      </c>
      <c r="M6" s="81" t="str">
        <f t="shared" si="3"/>
        <v>SR05-5</v>
      </c>
      <c r="N6" s="82" t="str">
        <f t="shared" si="4"/>
        <v>3100-0229-02</v>
      </c>
      <c r="O6" s="81" t="str">
        <f t="shared" si="5"/>
        <v>ETHERNET</v>
      </c>
      <c r="P6" s="81" t="str">
        <f t="shared" si="6"/>
        <v>1G-SP1-IS5</v>
      </c>
      <c r="Q6" s="108">
        <f t="shared" si="7"/>
        <v>2</v>
      </c>
      <c r="T6" s="111" t="str">
        <f>IF(C6=0, "",C6)</f>
        <v>SR05-5</v>
      </c>
    </row>
    <row r="7" spans="1:20" ht="18" customHeight="1" x14ac:dyDescent="0.2">
      <c r="A7" s="56" t="s">
        <v>160</v>
      </c>
      <c r="B7" s="57" t="s">
        <v>136</v>
      </c>
      <c r="C7" s="57" t="s">
        <v>162</v>
      </c>
      <c r="D7" s="55" t="s">
        <v>169</v>
      </c>
      <c r="E7" s="50" t="s">
        <v>1</v>
      </c>
      <c r="F7" s="57">
        <v>2</v>
      </c>
      <c r="G7" s="50" t="str">
        <f>VLOOKUP(MID(C7,1,2),LOOKUP!$A:$B,2,FALSE)&amp;MID(C7,FIND("-",C7)+1,3)</f>
        <v>NT1</v>
      </c>
      <c r="H7" s="51" t="str">
        <f t="shared" si="0"/>
        <v>PWR-SP2-NT1</v>
      </c>
      <c r="I7" s="59">
        <v>2</v>
      </c>
      <c r="J7" s="3"/>
      <c r="K7" s="105" t="str">
        <f t="shared" ref="K7:K44" si="8">A7</f>
        <v>R05</v>
      </c>
      <c r="L7" s="78" t="str">
        <f t="shared" ref="L7:L44" si="9">B7</f>
        <v>CB05-1</v>
      </c>
      <c r="M7" s="78" t="str">
        <f t="shared" ref="M7:M44" si="10">C7</f>
        <v>NT05-1</v>
      </c>
      <c r="N7" s="79" t="str">
        <f t="shared" ref="N7:N44" si="11">D7</f>
        <v>3100-0244-02</v>
      </c>
      <c r="O7" s="78" t="str">
        <f t="shared" ref="O7:O44" si="12">E7</f>
        <v>POWER</v>
      </c>
      <c r="P7" s="78" t="str">
        <f t="shared" ref="P7:P44" si="13">H7</f>
        <v>PWR-SP2-NT1</v>
      </c>
      <c r="Q7" s="106">
        <f t="shared" ref="Q7:Q44" si="14">I7</f>
        <v>2</v>
      </c>
      <c r="T7" s="111" t="str">
        <f t="shared" ref="T7:T48" si="15">IF(C7=0, "",C7)</f>
        <v>NT05-1</v>
      </c>
    </row>
    <row r="8" spans="1:20" ht="18" customHeight="1" thickBot="1" x14ac:dyDescent="0.25">
      <c r="A8" s="40" t="str">
        <f>A7</f>
        <v>R05</v>
      </c>
      <c r="B8" s="33" t="str">
        <f>B7</f>
        <v>CB05-1</v>
      </c>
      <c r="C8" s="33" t="str">
        <f>C7</f>
        <v>NT05-1</v>
      </c>
      <c r="D8" s="32" t="str">
        <f>"3100-0233-"&amp;MID(D7,11,2)</f>
        <v>3100-0233-02</v>
      </c>
      <c r="E8" s="33" t="s">
        <v>28</v>
      </c>
      <c r="F8" s="33">
        <f>F7</f>
        <v>2</v>
      </c>
      <c r="G8" s="33" t="str">
        <f>VLOOKUP(MID(C8,1,2),LOOKUP!$A:$B,2,FALSE)&amp;MID(C8,FIND("-",C8)+1,3)</f>
        <v>NT1</v>
      </c>
      <c r="H8" s="32" t="str">
        <f t="shared" si="0"/>
        <v>1G-SP2-NT1</v>
      </c>
      <c r="I8" s="58">
        <v>2</v>
      </c>
      <c r="J8" s="4"/>
      <c r="K8" s="107" t="str">
        <f t="shared" si="8"/>
        <v>R05</v>
      </c>
      <c r="L8" s="81" t="str">
        <f t="shared" si="9"/>
        <v>CB05-1</v>
      </c>
      <c r="M8" s="81" t="str">
        <f t="shared" si="10"/>
        <v>NT05-1</v>
      </c>
      <c r="N8" s="82" t="str">
        <f t="shared" si="11"/>
        <v>3100-0233-02</v>
      </c>
      <c r="O8" s="81" t="str">
        <f t="shared" si="12"/>
        <v>ETHERNET</v>
      </c>
      <c r="P8" s="81" t="str">
        <f t="shared" si="13"/>
        <v>1G-SP2-NT1</v>
      </c>
      <c r="Q8" s="108">
        <f t="shared" si="14"/>
        <v>2</v>
      </c>
      <c r="T8" s="111" t="str">
        <f t="shared" si="15"/>
        <v>NT05-1</v>
      </c>
    </row>
    <row r="9" spans="1:20" ht="18" customHeight="1" x14ac:dyDescent="0.2">
      <c r="A9" s="56" t="s">
        <v>160</v>
      </c>
      <c r="B9" s="57" t="s">
        <v>136</v>
      </c>
      <c r="C9" s="77" t="s">
        <v>163</v>
      </c>
      <c r="D9" s="55" t="s">
        <v>169</v>
      </c>
      <c r="E9" s="50" t="s">
        <v>1</v>
      </c>
      <c r="F9" s="57">
        <v>3</v>
      </c>
      <c r="G9" s="50" t="str">
        <f>VLOOKUP(MID(C9,1,2),LOOKUP!$A:$B,2,FALSE)&amp;MID(C9,FIND("-",C9)+1,3)</f>
        <v>NT2</v>
      </c>
      <c r="H9" s="51" t="str">
        <f t="shared" ref="H9:H10" si="16">IF(E9="POWER","PWR","1G")&amp;"-SP"&amp;F9&amp;"-"&amp;G9</f>
        <v>PWR-SP3-NT2</v>
      </c>
      <c r="I9" s="59">
        <v>2</v>
      </c>
      <c r="J9" s="3"/>
      <c r="K9" s="105" t="str">
        <f t="shared" si="8"/>
        <v>R05</v>
      </c>
      <c r="L9" s="78" t="str">
        <f t="shared" si="9"/>
        <v>CB05-1</v>
      </c>
      <c r="M9" s="78" t="str">
        <f t="shared" si="10"/>
        <v>NT05-2</v>
      </c>
      <c r="N9" s="79" t="str">
        <f t="shared" si="11"/>
        <v>3100-0244-02</v>
      </c>
      <c r="O9" s="78" t="str">
        <f t="shared" si="12"/>
        <v>POWER</v>
      </c>
      <c r="P9" s="78" t="str">
        <f t="shared" si="13"/>
        <v>PWR-SP3-NT2</v>
      </c>
      <c r="Q9" s="106">
        <f t="shared" si="14"/>
        <v>2</v>
      </c>
      <c r="T9" s="111" t="str">
        <f t="shared" si="15"/>
        <v>NT05-2</v>
      </c>
    </row>
    <row r="10" spans="1:20" ht="18" customHeight="1" thickBot="1" x14ac:dyDescent="0.25">
      <c r="A10" s="40" t="str">
        <f>A9</f>
        <v>R05</v>
      </c>
      <c r="B10" s="33" t="str">
        <f>B9</f>
        <v>CB05-1</v>
      </c>
      <c r="C10" s="33" t="str">
        <f>C9</f>
        <v>NT05-2</v>
      </c>
      <c r="D10" s="32" t="str">
        <f>"3100-0233-"&amp;MID(D9,11,2)</f>
        <v>3100-0233-02</v>
      </c>
      <c r="E10" s="33" t="s">
        <v>28</v>
      </c>
      <c r="F10" s="33">
        <f>F9</f>
        <v>3</v>
      </c>
      <c r="G10" s="33" t="str">
        <f>VLOOKUP(MID(C10,1,2),LOOKUP!$A:$B,2,FALSE)&amp;MID(C10,FIND("-",C10)+1,3)</f>
        <v>NT2</v>
      </c>
      <c r="H10" s="32" t="str">
        <f t="shared" si="16"/>
        <v>1G-SP3-NT2</v>
      </c>
      <c r="I10" s="58">
        <v>2</v>
      </c>
      <c r="J10" s="4"/>
      <c r="K10" s="107" t="str">
        <f t="shared" si="8"/>
        <v>R05</v>
      </c>
      <c r="L10" s="81" t="str">
        <f t="shared" si="9"/>
        <v>CB05-1</v>
      </c>
      <c r="M10" s="81" t="str">
        <f t="shared" si="10"/>
        <v>NT05-2</v>
      </c>
      <c r="N10" s="82" t="str">
        <f t="shared" si="11"/>
        <v>3100-0233-02</v>
      </c>
      <c r="O10" s="81" t="str">
        <f t="shared" si="12"/>
        <v>ETHERNET</v>
      </c>
      <c r="P10" s="81" t="str">
        <f t="shared" si="13"/>
        <v>1G-SP3-NT2</v>
      </c>
      <c r="Q10" s="108">
        <f t="shared" si="14"/>
        <v>2</v>
      </c>
      <c r="T10" s="111" t="str">
        <f t="shared" si="15"/>
        <v>NT05-2</v>
      </c>
    </row>
    <row r="11" spans="1:20" ht="18" customHeight="1" x14ac:dyDescent="0.2">
      <c r="A11" s="80" t="s">
        <v>164</v>
      </c>
      <c r="B11" s="77" t="s">
        <v>137</v>
      </c>
      <c r="C11" s="77" t="s">
        <v>165</v>
      </c>
      <c r="D11" s="55" t="s">
        <v>168</v>
      </c>
      <c r="E11" s="50" t="s">
        <v>1</v>
      </c>
      <c r="F11" s="57">
        <v>1</v>
      </c>
      <c r="G11" s="50" t="str">
        <f>VLOOKUP(MID(C11,1,2),LOOKUP!$A:$B,2,FALSE)&amp;MID(C11,FIND("-",C11)+1,3)</f>
        <v>IS6</v>
      </c>
      <c r="H11" s="51" t="str">
        <f t="shared" ref="H11:H14" si="17">IF(E11="POWER","PWR","1G")&amp;"-SP"&amp;F11&amp;"-"&amp;G11</f>
        <v>PWR-SP1-IS6</v>
      </c>
      <c r="I11" s="59">
        <v>2</v>
      </c>
      <c r="J11" s="3"/>
      <c r="K11" s="105" t="str">
        <f t="shared" si="8"/>
        <v>R06</v>
      </c>
      <c r="L11" s="78" t="str">
        <f t="shared" si="9"/>
        <v>CB06-1</v>
      </c>
      <c r="M11" s="78" t="str">
        <f t="shared" si="10"/>
        <v>SR06-6</v>
      </c>
      <c r="N11" s="79" t="str">
        <f t="shared" si="11"/>
        <v>3100-0136-02</v>
      </c>
      <c r="O11" s="78" t="str">
        <f t="shared" si="12"/>
        <v>POWER</v>
      </c>
      <c r="P11" s="78" t="str">
        <f t="shared" si="13"/>
        <v>PWR-SP1-IS6</v>
      </c>
      <c r="Q11" s="106">
        <f t="shared" si="14"/>
        <v>2</v>
      </c>
      <c r="T11" s="111" t="str">
        <f t="shared" si="15"/>
        <v>SR06-6</v>
      </c>
    </row>
    <row r="12" spans="1:20" ht="18" customHeight="1" thickBot="1" x14ac:dyDescent="0.25">
      <c r="A12" s="40" t="str">
        <f>A11</f>
        <v>R06</v>
      </c>
      <c r="B12" s="33" t="str">
        <f>B11</f>
        <v>CB06-1</v>
      </c>
      <c r="C12" s="33" t="str">
        <f>C11</f>
        <v>SR06-6</v>
      </c>
      <c r="D12" s="32" t="str">
        <f>"3100-0229-"&amp;MID(D11,11,2)</f>
        <v>3100-0229-02</v>
      </c>
      <c r="E12" s="33" t="s">
        <v>28</v>
      </c>
      <c r="F12" s="17">
        <f>F11</f>
        <v>1</v>
      </c>
      <c r="G12" s="33" t="str">
        <f>VLOOKUP(MID(C12,1,2),LOOKUP!$A:$B,2,FALSE)&amp;MID(C12,FIND("-",C12)+1,3)</f>
        <v>IS6</v>
      </c>
      <c r="H12" s="32" t="str">
        <f t="shared" si="17"/>
        <v>1G-SP1-IS6</v>
      </c>
      <c r="I12" s="58">
        <v>2</v>
      </c>
      <c r="J12" s="4"/>
      <c r="K12" s="107" t="str">
        <f t="shared" si="8"/>
        <v>R06</v>
      </c>
      <c r="L12" s="81" t="str">
        <f t="shared" si="9"/>
        <v>CB06-1</v>
      </c>
      <c r="M12" s="81" t="str">
        <f t="shared" si="10"/>
        <v>SR06-6</v>
      </c>
      <c r="N12" s="82" t="str">
        <f t="shared" si="11"/>
        <v>3100-0229-02</v>
      </c>
      <c r="O12" s="81" t="str">
        <f t="shared" si="12"/>
        <v>ETHERNET</v>
      </c>
      <c r="P12" s="81" t="str">
        <f t="shared" si="13"/>
        <v>1G-SP1-IS6</v>
      </c>
      <c r="Q12" s="108">
        <f t="shared" si="14"/>
        <v>2</v>
      </c>
      <c r="T12" s="111" t="str">
        <f t="shared" si="15"/>
        <v>SR06-6</v>
      </c>
    </row>
    <row r="13" spans="1:20" ht="18" customHeight="1" x14ac:dyDescent="0.2">
      <c r="A13" s="80" t="s">
        <v>164</v>
      </c>
      <c r="B13" s="77" t="s">
        <v>137</v>
      </c>
      <c r="C13" s="77" t="s">
        <v>166</v>
      </c>
      <c r="D13" s="55" t="s">
        <v>169</v>
      </c>
      <c r="E13" s="50" t="s">
        <v>1</v>
      </c>
      <c r="F13" s="57">
        <v>2</v>
      </c>
      <c r="G13" s="50" t="str">
        <f>VLOOKUP(MID(C13,1,2),LOOKUP!$A:$B,2,FALSE)&amp;MID(C13,FIND("-",C13)+1,3)</f>
        <v>NT1</v>
      </c>
      <c r="H13" s="51" t="str">
        <f t="shared" si="17"/>
        <v>PWR-SP2-NT1</v>
      </c>
      <c r="I13" s="59">
        <v>2</v>
      </c>
      <c r="J13" s="3"/>
      <c r="K13" s="105" t="str">
        <f t="shared" si="8"/>
        <v>R06</v>
      </c>
      <c r="L13" s="78" t="str">
        <f t="shared" si="9"/>
        <v>CB06-1</v>
      </c>
      <c r="M13" s="78" t="str">
        <f t="shared" si="10"/>
        <v>NT06-1</v>
      </c>
      <c r="N13" s="79" t="str">
        <f t="shared" si="11"/>
        <v>3100-0244-02</v>
      </c>
      <c r="O13" s="78" t="str">
        <f t="shared" si="12"/>
        <v>POWER</v>
      </c>
      <c r="P13" s="78" t="str">
        <f t="shared" si="13"/>
        <v>PWR-SP2-NT1</v>
      </c>
      <c r="Q13" s="106">
        <f t="shared" si="14"/>
        <v>2</v>
      </c>
      <c r="T13" s="111" t="str">
        <f t="shared" si="15"/>
        <v>NT06-1</v>
      </c>
    </row>
    <row r="14" spans="1:20" ht="18" customHeight="1" thickBot="1" x14ac:dyDescent="0.25">
      <c r="A14" s="40" t="str">
        <f>A13</f>
        <v>R06</v>
      </c>
      <c r="B14" s="33" t="str">
        <f>B13</f>
        <v>CB06-1</v>
      </c>
      <c r="C14" s="33" t="str">
        <f>C13</f>
        <v>NT06-1</v>
      </c>
      <c r="D14" s="32" t="str">
        <f>"3100-0233-"&amp;MID(D13,11,2)</f>
        <v>3100-0233-02</v>
      </c>
      <c r="E14" s="33" t="s">
        <v>28</v>
      </c>
      <c r="F14" s="33">
        <f>F13</f>
        <v>2</v>
      </c>
      <c r="G14" s="33" t="str">
        <f>VLOOKUP(MID(C14,1,2),LOOKUP!$A:$B,2,FALSE)&amp;MID(C14,FIND("-",C14)+1,3)</f>
        <v>NT1</v>
      </c>
      <c r="H14" s="32" t="str">
        <f t="shared" si="17"/>
        <v>1G-SP2-NT1</v>
      </c>
      <c r="I14" s="58">
        <v>2</v>
      </c>
      <c r="J14" s="4"/>
      <c r="K14" s="107" t="str">
        <f t="shared" si="8"/>
        <v>R06</v>
      </c>
      <c r="L14" s="81" t="str">
        <f t="shared" si="9"/>
        <v>CB06-1</v>
      </c>
      <c r="M14" s="81" t="str">
        <f t="shared" si="10"/>
        <v>NT06-1</v>
      </c>
      <c r="N14" s="82" t="str">
        <f t="shared" si="11"/>
        <v>3100-0233-02</v>
      </c>
      <c r="O14" s="81" t="str">
        <f t="shared" si="12"/>
        <v>ETHERNET</v>
      </c>
      <c r="P14" s="81" t="str">
        <f t="shared" si="13"/>
        <v>1G-SP2-NT1</v>
      </c>
      <c r="Q14" s="108">
        <f t="shared" si="14"/>
        <v>2</v>
      </c>
      <c r="T14" s="111" t="str">
        <f t="shared" si="15"/>
        <v>NT06-1</v>
      </c>
    </row>
    <row r="15" spans="1:20" ht="18" customHeight="1" x14ac:dyDescent="0.2">
      <c r="A15" s="80" t="s">
        <v>164</v>
      </c>
      <c r="B15" s="77" t="s">
        <v>137</v>
      </c>
      <c r="C15" s="77" t="s">
        <v>167</v>
      </c>
      <c r="D15" s="55" t="s">
        <v>169</v>
      </c>
      <c r="E15" s="50" t="s">
        <v>1</v>
      </c>
      <c r="F15" s="57">
        <v>3</v>
      </c>
      <c r="G15" s="50" t="str">
        <f>VLOOKUP(MID(C15,1,2),LOOKUP!$A:$B,2,FALSE)&amp;MID(C15,FIND("-",C15)+1,3)</f>
        <v>NT2</v>
      </c>
      <c r="H15" s="51" t="str">
        <f t="shared" ref="H15:H44" si="18">IF(E15="POWER","PWR","1G")&amp;"-SP"&amp;F15&amp;"-"&amp;G15</f>
        <v>PWR-SP3-NT2</v>
      </c>
      <c r="I15" s="59">
        <v>2</v>
      </c>
      <c r="J15" s="3"/>
      <c r="K15" s="105" t="str">
        <f t="shared" si="8"/>
        <v>R06</v>
      </c>
      <c r="L15" s="78" t="str">
        <f t="shared" si="9"/>
        <v>CB06-1</v>
      </c>
      <c r="M15" s="78" t="str">
        <f t="shared" si="10"/>
        <v>NT06-2</v>
      </c>
      <c r="N15" s="79" t="str">
        <f t="shared" si="11"/>
        <v>3100-0244-02</v>
      </c>
      <c r="O15" s="78" t="str">
        <f t="shared" si="12"/>
        <v>POWER</v>
      </c>
      <c r="P15" s="78" t="str">
        <f t="shared" si="13"/>
        <v>PWR-SP3-NT2</v>
      </c>
      <c r="Q15" s="106">
        <f t="shared" si="14"/>
        <v>2</v>
      </c>
      <c r="T15" s="111" t="str">
        <f t="shared" si="15"/>
        <v>NT06-2</v>
      </c>
    </row>
    <row r="16" spans="1:20" ht="18" customHeight="1" thickBot="1" x14ac:dyDescent="0.25">
      <c r="A16" s="40" t="str">
        <f>A15</f>
        <v>R06</v>
      </c>
      <c r="B16" s="33" t="str">
        <f>B15</f>
        <v>CB06-1</v>
      </c>
      <c r="C16" s="33" t="str">
        <f>C15</f>
        <v>NT06-2</v>
      </c>
      <c r="D16" s="32" t="str">
        <f>"3100-0233-"&amp;MID(D15,11,2)</f>
        <v>3100-0233-02</v>
      </c>
      <c r="E16" s="33" t="s">
        <v>28</v>
      </c>
      <c r="F16" s="33">
        <f>F15</f>
        <v>3</v>
      </c>
      <c r="G16" s="33" t="str">
        <f>VLOOKUP(MID(C16,1,2),LOOKUP!$A:$B,2,FALSE)&amp;MID(C16,FIND("-",C16)+1,3)</f>
        <v>NT2</v>
      </c>
      <c r="H16" s="32" t="str">
        <f t="shared" si="18"/>
        <v>1G-SP3-NT2</v>
      </c>
      <c r="I16" s="58">
        <v>2</v>
      </c>
      <c r="J16" s="4"/>
      <c r="K16" s="107" t="str">
        <f t="shared" si="8"/>
        <v>R06</v>
      </c>
      <c r="L16" s="81" t="str">
        <f t="shared" si="9"/>
        <v>CB06-1</v>
      </c>
      <c r="M16" s="81" t="str">
        <f t="shared" si="10"/>
        <v>NT06-2</v>
      </c>
      <c r="N16" s="82" t="str">
        <f t="shared" si="11"/>
        <v>3100-0233-02</v>
      </c>
      <c r="O16" s="81" t="str">
        <f t="shared" si="12"/>
        <v>ETHERNET</v>
      </c>
      <c r="P16" s="81" t="str">
        <f t="shared" si="13"/>
        <v>1G-SP3-NT2</v>
      </c>
      <c r="Q16" s="108">
        <f t="shared" si="14"/>
        <v>2</v>
      </c>
      <c r="T16" s="111" t="str">
        <f t="shared" si="15"/>
        <v>NT06-2</v>
      </c>
    </row>
    <row r="17" spans="1:20" ht="18" customHeight="1" x14ac:dyDescent="0.2">
      <c r="A17" s="80" t="s">
        <v>170</v>
      </c>
      <c r="B17" s="77" t="s">
        <v>139</v>
      </c>
      <c r="C17" s="77" t="s">
        <v>171</v>
      </c>
      <c r="D17" s="55" t="s">
        <v>175</v>
      </c>
      <c r="E17" s="50" t="s">
        <v>1</v>
      </c>
      <c r="F17" s="57">
        <v>1</v>
      </c>
      <c r="G17" s="50" t="str">
        <f>VLOOKUP(MID(C17,1,2),LOOKUP!$A:$B,2,FALSE)&amp;MID(C17,FIND("-",C17)+1,3)</f>
        <v>IS1</v>
      </c>
      <c r="H17" s="51" t="str">
        <f t="shared" si="18"/>
        <v>PWR-SP1-IS1</v>
      </c>
      <c r="I17" s="59">
        <v>2</v>
      </c>
      <c r="J17" s="3"/>
      <c r="K17" s="105" t="str">
        <f t="shared" si="8"/>
        <v>LFFLR-V</v>
      </c>
      <c r="L17" s="78" t="str">
        <f t="shared" si="9"/>
        <v>CB-3</v>
      </c>
      <c r="M17" s="78" t="str">
        <f t="shared" si="10"/>
        <v>SF-1</v>
      </c>
      <c r="N17" s="79" t="str">
        <f t="shared" si="11"/>
        <v>3100-0372-05</v>
      </c>
      <c r="O17" s="78" t="str">
        <f t="shared" si="12"/>
        <v>POWER</v>
      </c>
      <c r="P17" s="78" t="str">
        <f t="shared" si="13"/>
        <v>PWR-SP1-IS1</v>
      </c>
      <c r="Q17" s="106">
        <f t="shared" si="14"/>
        <v>2</v>
      </c>
      <c r="T17" s="111" t="str">
        <f t="shared" si="15"/>
        <v>SF-1</v>
      </c>
    </row>
    <row r="18" spans="1:20" ht="18" customHeight="1" thickBot="1" x14ac:dyDescent="0.25">
      <c r="A18" s="40" t="str">
        <f>A17</f>
        <v>LFFLR-V</v>
      </c>
      <c r="B18" s="33" t="str">
        <f>B17</f>
        <v>CB-3</v>
      </c>
      <c r="C18" s="33" t="str">
        <f>C17</f>
        <v>SF-1</v>
      </c>
      <c r="D18" s="32" t="str">
        <f>"3100-0229-"&amp;MID(D17,11,2)</f>
        <v>3100-0229-05</v>
      </c>
      <c r="E18" s="33" t="s">
        <v>28</v>
      </c>
      <c r="F18" s="17">
        <f>F17</f>
        <v>1</v>
      </c>
      <c r="G18" s="33" t="str">
        <f>VLOOKUP(MID(C18,1,2),LOOKUP!$A:$B,2,FALSE)&amp;MID(C18,FIND("-",C18)+1,3)</f>
        <v>IS1</v>
      </c>
      <c r="H18" s="32" t="str">
        <f t="shared" si="18"/>
        <v>1G-SP1-IS1</v>
      </c>
      <c r="I18" s="58">
        <v>2</v>
      </c>
      <c r="J18" s="4"/>
      <c r="K18" s="107" t="str">
        <f t="shared" si="8"/>
        <v>LFFLR-V</v>
      </c>
      <c r="L18" s="81" t="str">
        <f t="shared" si="9"/>
        <v>CB-3</v>
      </c>
      <c r="M18" s="81" t="str">
        <f t="shared" si="10"/>
        <v>SF-1</v>
      </c>
      <c r="N18" s="82" t="str">
        <f t="shared" si="11"/>
        <v>3100-0229-05</v>
      </c>
      <c r="O18" s="81" t="str">
        <f t="shared" si="12"/>
        <v>ETHERNET</v>
      </c>
      <c r="P18" s="81" t="str">
        <f t="shared" si="13"/>
        <v>1G-SP1-IS1</v>
      </c>
      <c r="Q18" s="108">
        <f t="shared" si="14"/>
        <v>2</v>
      </c>
      <c r="T18" s="111" t="str">
        <f t="shared" si="15"/>
        <v>SF-1</v>
      </c>
    </row>
    <row r="19" spans="1:20" ht="18" customHeight="1" x14ac:dyDescent="0.2">
      <c r="A19" s="80" t="s">
        <v>170</v>
      </c>
      <c r="B19" s="77" t="s">
        <v>139</v>
      </c>
      <c r="C19" s="77" t="s">
        <v>172</v>
      </c>
      <c r="D19" s="55" t="s">
        <v>175</v>
      </c>
      <c r="E19" s="50" t="s">
        <v>1</v>
      </c>
      <c r="F19" s="57">
        <v>2</v>
      </c>
      <c r="G19" s="50" t="str">
        <f>VLOOKUP(MID(C19,1,2),LOOKUP!$A:$B,2,FALSE)&amp;MID(C19,FIND("-",C19)+1,3)</f>
        <v>IS3</v>
      </c>
      <c r="H19" s="51" t="str">
        <f t="shared" si="18"/>
        <v>PWR-SP2-IS3</v>
      </c>
      <c r="I19" s="59">
        <v>2</v>
      </c>
      <c r="J19" s="3"/>
      <c r="K19" s="105" t="str">
        <f t="shared" si="8"/>
        <v>LFFLR-V</v>
      </c>
      <c r="L19" s="78" t="str">
        <f t="shared" si="9"/>
        <v>CB-3</v>
      </c>
      <c r="M19" s="78" t="str">
        <f t="shared" si="10"/>
        <v>SF-3</v>
      </c>
      <c r="N19" s="79" t="str">
        <f t="shared" si="11"/>
        <v>3100-0372-05</v>
      </c>
      <c r="O19" s="78" t="str">
        <f t="shared" si="12"/>
        <v>POWER</v>
      </c>
      <c r="P19" s="78" t="str">
        <f t="shared" si="13"/>
        <v>PWR-SP2-IS3</v>
      </c>
      <c r="Q19" s="106">
        <f t="shared" si="14"/>
        <v>2</v>
      </c>
      <c r="T19" s="111" t="str">
        <f t="shared" si="15"/>
        <v>SF-3</v>
      </c>
    </row>
    <row r="20" spans="1:20" ht="18" customHeight="1" thickBot="1" x14ac:dyDescent="0.25">
      <c r="A20" s="40" t="str">
        <f>A19</f>
        <v>LFFLR-V</v>
      </c>
      <c r="B20" s="33" t="str">
        <f>B19</f>
        <v>CB-3</v>
      </c>
      <c r="C20" s="33" t="str">
        <f>C19</f>
        <v>SF-3</v>
      </c>
      <c r="D20" s="32" t="str">
        <f>"3100-0229-"&amp;MID(D19,11,2)</f>
        <v>3100-0229-05</v>
      </c>
      <c r="E20" s="33" t="s">
        <v>28</v>
      </c>
      <c r="F20" s="33">
        <f>F19</f>
        <v>2</v>
      </c>
      <c r="G20" s="33" t="str">
        <f>VLOOKUP(MID(C20,1,2),LOOKUP!$A:$B,2,FALSE)&amp;MID(C20,FIND("-",C20)+1,3)</f>
        <v>IS3</v>
      </c>
      <c r="H20" s="32" t="str">
        <f t="shared" si="18"/>
        <v>1G-SP2-IS3</v>
      </c>
      <c r="I20" s="58">
        <v>2</v>
      </c>
      <c r="J20" s="4"/>
      <c r="K20" s="107" t="str">
        <f t="shared" si="8"/>
        <v>LFFLR-V</v>
      </c>
      <c r="L20" s="81" t="str">
        <f t="shared" si="9"/>
        <v>CB-3</v>
      </c>
      <c r="M20" s="81" t="str">
        <f t="shared" si="10"/>
        <v>SF-3</v>
      </c>
      <c r="N20" s="82" t="str">
        <f t="shared" si="11"/>
        <v>3100-0229-05</v>
      </c>
      <c r="O20" s="81" t="str">
        <f t="shared" si="12"/>
        <v>ETHERNET</v>
      </c>
      <c r="P20" s="81" t="str">
        <f t="shared" si="13"/>
        <v>1G-SP2-IS3</v>
      </c>
      <c r="Q20" s="108">
        <f t="shared" si="14"/>
        <v>2</v>
      </c>
      <c r="T20" s="111" t="str">
        <f t="shared" si="15"/>
        <v>SF-3</v>
      </c>
    </row>
    <row r="21" spans="1:20" ht="18" customHeight="1" x14ac:dyDescent="0.2">
      <c r="A21" s="80" t="s">
        <v>170</v>
      </c>
      <c r="B21" s="77" t="s">
        <v>139</v>
      </c>
      <c r="C21" s="77" t="s">
        <v>173</v>
      </c>
      <c r="D21" s="55" t="s">
        <v>175</v>
      </c>
      <c r="E21" s="50" t="s">
        <v>1</v>
      </c>
      <c r="F21" s="57">
        <v>3</v>
      </c>
      <c r="G21" s="50" t="str">
        <f>VLOOKUP(MID(C21,1,2),LOOKUP!$A:$B,2,FALSE)&amp;MID(C21,FIND("-",C21)+1,3)</f>
        <v>SLA1</v>
      </c>
      <c r="H21" s="51" t="str">
        <f t="shared" si="18"/>
        <v>PWR-SP3-SLA1</v>
      </c>
      <c r="I21" s="59">
        <v>2</v>
      </c>
      <c r="J21" s="3"/>
      <c r="K21" s="105" t="str">
        <f t="shared" si="8"/>
        <v>LFFLR-V</v>
      </c>
      <c r="L21" s="78" t="str">
        <f t="shared" si="9"/>
        <v>CB-3</v>
      </c>
      <c r="M21" s="78" t="str">
        <f t="shared" si="10"/>
        <v>SLA-1</v>
      </c>
      <c r="N21" s="79" t="str">
        <f t="shared" si="11"/>
        <v>3100-0372-05</v>
      </c>
      <c r="O21" s="78" t="str">
        <f t="shared" si="12"/>
        <v>POWER</v>
      </c>
      <c r="P21" s="78" t="str">
        <f t="shared" si="13"/>
        <v>PWR-SP3-SLA1</v>
      </c>
      <c r="Q21" s="106">
        <f t="shared" si="14"/>
        <v>2</v>
      </c>
      <c r="T21" s="111" t="str">
        <f t="shared" si="15"/>
        <v>SLA-1</v>
      </c>
    </row>
    <row r="22" spans="1:20" ht="18" customHeight="1" thickBot="1" x14ac:dyDescent="0.25">
      <c r="A22" s="40" t="str">
        <f>A21</f>
        <v>LFFLR-V</v>
      </c>
      <c r="B22" s="33" t="str">
        <f>B21</f>
        <v>CB-3</v>
      </c>
      <c r="C22" s="33" t="str">
        <f>C21</f>
        <v>SLA-1</v>
      </c>
      <c r="D22" s="32" t="str">
        <f>"3100-0233-"&amp;MID(D21,11,2)</f>
        <v>3100-0233-05</v>
      </c>
      <c r="E22" s="33" t="s">
        <v>28</v>
      </c>
      <c r="F22" s="33">
        <f>F21</f>
        <v>3</v>
      </c>
      <c r="G22" s="33" t="str">
        <f>VLOOKUP(MID(C22,1,2),LOOKUP!$A:$B,2,FALSE)&amp;MID(C22,FIND("-",C22)+1,3)</f>
        <v>SLA1</v>
      </c>
      <c r="H22" s="32" t="str">
        <f t="shared" si="18"/>
        <v>1G-SP3-SLA1</v>
      </c>
      <c r="I22" s="58">
        <v>2</v>
      </c>
      <c r="J22" s="4"/>
      <c r="K22" s="107" t="str">
        <f t="shared" si="8"/>
        <v>LFFLR-V</v>
      </c>
      <c r="L22" s="81" t="str">
        <f t="shared" si="9"/>
        <v>CB-3</v>
      </c>
      <c r="M22" s="81" t="str">
        <f t="shared" si="10"/>
        <v>SLA-1</v>
      </c>
      <c r="N22" s="82" t="str">
        <f t="shared" si="11"/>
        <v>3100-0233-05</v>
      </c>
      <c r="O22" s="81" t="str">
        <f t="shared" si="12"/>
        <v>ETHERNET</v>
      </c>
      <c r="P22" s="81" t="str">
        <f t="shared" si="13"/>
        <v>1G-SP3-SLA1</v>
      </c>
      <c r="Q22" s="108">
        <f t="shared" si="14"/>
        <v>2</v>
      </c>
      <c r="T22" s="111" t="str">
        <f t="shared" si="15"/>
        <v>SLA-1</v>
      </c>
    </row>
    <row r="23" spans="1:20" ht="18" customHeight="1" x14ac:dyDescent="0.2">
      <c r="A23" s="80" t="s">
        <v>170</v>
      </c>
      <c r="B23" s="77" t="s">
        <v>139</v>
      </c>
      <c r="C23" s="77" t="s">
        <v>174</v>
      </c>
      <c r="D23" s="55" t="s">
        <v>175</v>
      </c>
      <c r="E23" s="50" t="s">
        <v>1</v>
      </c>
      <c r="F23" s="57">
        <v>4</v>
      </c>
      <c r="G23" s="50" t="str">
        <f>VLOOKUP(MID(C23,1,2),LOOKUP!$A:$B,2,FALSE)&amp;MID(C23,FIND("-",C23)+1,3)</f>
        <v>SLA3</v>
      </c>
      <c r="H23" s="51" t="str">
        <f t="shared" si="18"/>
        <v>PWR-SP4-SLA3</v>
      </c>
      <c r="I23" s="59">
        <v>2</v>
      </c>
      <c r="J23" s="3"/>
      <c r="K23" s="105" t="str">
        <f t="shared" si="8"/>
        <v>LFFLR-V</v>
      </c>
      <c r="L23" s="78" t="str">
        <f t="shared" si="9"/>
        <v>CB-3</v>
      </c>
      <c r="M23" s="78" t="str">
        <f t="shared" si="10"/>
        <v>SLA-3</v>
      </c>
      <c r="N23" s="79" t="str">
        <f t="shared" si="11"/>
        <v>3100-0372-05</v>
      </c>
      <c r="O23" s="78" t="str">
        <f t="shared" si="12"/>
        <v>POWER</v>
      </c>
      <c r="P23" s="78" t="str">
        <f t="shared" si="13"/>
        <v>PWR-SP4-SLA3</v>
      </c>
      <c r="Q23" s="106">
        <f t="shared" si="14"/>
        <v>2</v>
      </c>
      <c r="T23" s="111" t="str">
        <f t="shared" si="15"/>
        <v>SLA-3</v>
      </c>
    </row>
    <row r="24" spans="1:20" ht="18" customHeight="1" thickBot="1" x14ac:dyDescent="0.25">
      <c r="A24" s="40" t="str">
        <f>A23</f>
        <v>LFFLR-V</v>
      </c>
      <c r="B24" s="33" t="str">
        <f>B23</f>
        <v>CB-3</v>
      </c>
      <c r="C24" s="33" t="str">
        <f>C23</f>
        <v>SLA-3</v>
      </c>
      <c r="D24" s="32" t="str">
        <f>"3100-0233-"&amp;MID(D23,11,2)</f>
        <v>3100-0233-05</v>
      </c>
      <c r="E24" s="33" t="s">
        <v>28</v>
      </c>
      <c r="F24" s="17">
        <f>F23</f>
        <v>4</v>
      </c>
      <c r="G24" s="33" t="str">
        <f>VLOOKUP(MID(C24,1,2),LOOKUP!$A:$B,2,FALSE)&amp;MID(C24,FIND("-",C24)+1,3)</f>
        <v>SLA3</v>
      </c>
      <c r="H24" s="32" t="str">
        <f t="shared" si="18"/>
        <v>1G-SP4-SLA3</v>
      </c>
      <c r="I24" s="58">
        <v>2</v>
      </c>
      <c r="J24" s="4"/>
      <c r="K24" s="107" t="str">
        <f t="shared" si="8"/>
        <v>LFFLR-V</v>
      </c>
      <c r="L24" s="81" t="str">
        <f t="shared" si="9"/>
        <v>CB-3</v>
      </c>
      <c r="M24" s="81" t="str">
        <f t="shared" si="10"/>
        <v>SLA-3</v>
      </c>
      <c r="N24" s="82" t="str">
        <f t="shared" si="11"/>
        <v>3100-0233-05</v>
      </c>
      <c r="O24" s="81" t="str">
        <f t="shared" si="12"/>
        <v>ETHERNET</v>
      </c>
      <c r="P24" s="81" t="str">
        <f t="shared" si="13"/>
        <v>1G-SP4-SLA3</v>
      </c>
      <c r="Q24" s="108">
        <f t="shared" si="14"/>
        <v>2</v>
      </c>
      <c r="T24" s="111" t="str">
        <f t="shared" si="15"/>
        <v>SLA-3</v>
      </c>
    </row>
    <row r="25" spans="1:20" ht="18" customHeight="1" x14ac:dyDescent="0.2">
      <c r="A25" s="80" t="s">
        <v>176</v>
      </c>
      <c r="B25" s="77" t="s">
        <v>140</v>
      </c>
      <c r="C25" s="77" t="s">
        <v>177</v>
      </c>
      <c r="D25" s="55" t="s">
        <v>175</v>
      </c>
      <c r="E25" s="50" t="s">
        <v>1</v>
      </c>
      <c r="F25" s="57">
        <v>1</v>
      </c>
      <c r="G25" s="50" t="str">
        <f>VLOOKUP(MID(C25,1,2),LOOKUP!$A:$B,2,FALSE)&amp;MID(C25,FIND("-",C25)+1,3)</f>
        <v>IS2</v>
      </c>
      <c r="H25" s="51" t="str">
        <f t="shared" si="18"/>
        <v>PWR-SP1-IS2</v>
      </c>
      <c r="I25" s="59">
        <v>2</v>
      </c>
      <c r="J25" s="3"/>
      <c r="K25" s="105" t="str">
        <f t="shared" si="8"/>
        <v>RHFLR-V</v>
      </c>
      <c r="L25" s="78" t="str">
        <f t="shared" si="9"/>
        <v>CB-4</v>
      </c>
      <c r="M25" s="78" t="str">
        <f t="shared" si="10"/>
        <v>SF-2</v>
      </c>
      <c r="N25" s="79" t="str">
        <f t="shared" si="11"/>
        <v>3100-0372-05</v>
      </c>
      <c r="O25" s="78" t="str">
        <f t="shared" si="12"/>
        <v>POWER</v>
      </c>
      <c r="P25" s="78" t="str">
        <f t="shared" si="13"/>
        <v>PWR-SP1-IS2</v>
      </c>
      <c r="Q25" s="106">
        <f t="shared" si="14"/>
        <v>2</v>
      </c>
      <c r="T25" s="111" t="str">
        <f t="shared" si="15"/>
        <v>SF-2</v>
      </c>
    </row>
    <row r="26" spans="1:20" ht="18" customHeight="1" thickBot="1" x14ac:dyDescent="0.25">
      <c r="A26" s="40" t="str">
        <f>A25</f>
        <v>RHFLR-V</v>
      </c>
      <c r="B26" s="33" t="str">
        <f>B25</f>
        <v>CB-4</v>
      </c>
      <c r="C26" s="33" t="str">
        <f>C25</f>
        <v>SF-2</v>
      </c>
      <c r="D26" s="32" t="str">
        <f>"3100-0229-"&amp;MID(D25,11,2)</f>
        <v>3100-0229-05</v>
      </c>
      <c r="E26" s="33" t="s">
        <v>28</v>
      </c>
      <c r="F26" s="17">
        <f>F25</f>
        <v>1</v>
      </c>
      <c r="G26" s="33" t="str">
        <f>VLOOKUP(MID(C26,1,2),LOOKUP!$A:$B,2,FALSE)&amp;MID(C26,FIND("-",C26)+1,3)</f>
        <v>IS2</v>
      </c>
      <c r="H26" s="32" t="str">
        <f t="shared" si="18"/>
        <v>1G-SP1-IS2</v>
      </c>
      <c r="I26" s="58">
        <v>2</v>
      </c>
      <c r="J26" s="4"/>
      <c r="K26" s="107" t="str">
        <f t="shared" si="8"/>
        <v>RHFLR-V</v>
      </c>
      <c r="L26" s="81" t="str">
        <f t="shared" si="9"/>
        <v>CB-4</v>
      </c>
      <c r="M26" s="81" t="str">
        <f t="shared" si="10"/>
        <v>SF-2</v>
      </c>
      <c r="N26" s="82" t="str">
        <f t="shared" si="11"/>
        <v>3100-0229-05</v>
      </c>
      <c r="O26" s="81" t="str">
        <f t="shared" si="12"/>
        <v>ETHERNET</v>
      </c>
      <c r="P26" s="81" t="str">
        <f t="shared" si="13"/>
        <v>1G-SP1-IS2</v>
      </c>
      <c r="Q26" s="108">
        <f t="shared" si="14"/>
        <v>2</v>
      </c>
      <c r="T26" s="111" t="str">
        <f t="shared" si="15"/>
        <v>SF-2</v>
      </c>
    </row>
    <row r="27" spans="1:20" ht="18" customHeight="1" x14ac:dyDescent="0.2">
      <c r="A27" s="80" t="s">
        <v>176</v>
      </c>
      <c r="B27" s="77" t="s">
        <v>140</v>
      </c>
      <c r="C27" s="77" t="s">
        <v>178</v>
      </c>
      <c r="D27" s="55" t="s">
        <v>175</v>
      </c>
      <c r="E27" s="50" t="s">
        <v>1</v>
      </c>
      <c r="F27" s="57">
        <v>2</v>
      </c>
      <c r="G27" s="50" t="str">
        <f>VLOOKUP(MID(C27,1,2),LOOKUP!$A:$B,2,FALSE)&amp;MID(C27,FIND("-",C27)+1,3)</f>
        <v>IS4</v>
      </c>
      <c r="H27" s="51" t="str">
        <f t="shared" si="18"/>
        <v>PWR-SP2-IS4</v>
      </c>
      <c r="I27" s="59">
        <v>2</v>
      </c>
      <c r="J27" s="3"/>
      <c r="K27" s="105" t="str">
        <f t="shared" si="8"/>
        <v>RHFLR-V</v>
      </c>
      <c r="L27" s="78" t="str">
        <f t="shared" si="9"/>
        <v>CB-4</v>
      </c>
      <c r="M27" s="78" t="str">
        <f t="shared" si="10"/>
        <v>SF-4</v>
      </c>
      <c r="N27" s="79" t="str">
        <f t="shared" si="11"/>
        <v>3100-0372-05</v>
      </c>
      <c r="O27" s="78" t="str">
        <f t="shared" si="12"/>
        <v>POWER</v>
      </c>
      <c r="P27" s="78" t="str">
        <f t="shared" si="13"/>
        <v>PWR-SP2-IS4</v>
      </c>
      <c r="Q27" s="106">
        <f t="shared" si="14"/>
        <v>2</v>
      </c>
      <c r="T27" s="111" t="str">
        <f t="shared" si="15"/>
        <v>SF-4</v>
      </c>
    </row>
    <row r="28" spans="1:20" ht="18" customHeight="1" thickBot="1" x14ac:dyDescent="0.25">
      <c r="A28" s="40" t="str">
        <f>A27</f>
        <v>RHFLR-V</v>
      </c>
      <c r="B28" s="33" t="str">
        <f>B27</f>
        <v>CB-4</v>
      </c>
      <c r="C28" s="33" t="str">
        <f>C27</f>
        <v>SF-4</v>
      </c>
      <c r="D28" s="32" t="str">
        <f>"3100-0229-"&amp;MID(D27,11,2)</f>
        <v>3100-0229-05</v>
      </c>
      <c r="E28" s="33" t="s">
        <v>28</v>
      </c>
      <c r="F28" s="17">
        <f>F27</f>
        <v>2</v>
      </c>
      <c r="G28" s="33" t="str">
        <f>VLOOKUP(MID(C28,1,2),LOOKUP!$A:$B,2,FALSE)&amp;MID(C28,FIND("-",C28)+1,3)</f>
        <v>IS4</v>
      </c>
      <c r="H28" s="32" t="str">
        <f t="shared" si="18"/>
        <v>1G-SP2-IS4</v>
      </c>
      <c r="I28" s="58">
        <v>2</v>
      </c>
      <c r="J28" s="4"/>
      <c r="K28" s="107" t="str">
        <f t="shared" si="8"/>
        <v>RHFLR-V</v>
      </c>
      <c r="L28" s="81" t="str">
        <f t="shared" si="9"/>
        <v>CB-4</v>
      </c>
      <c r="M28" s="81" t="str">
        <f t="shared" si="10"/>
        <v>SF-4</v>
      </c>
      <c r="N28" s="82" t="str">
        <f t="shared" si="11"/>
        <v>3100-0229-05</v>
      </c>
      <c r="O28" s="81" t="str">
        <f t="shared" si="12"/>
        <v>ETHERNET</v>
      </c>
      <c r="P28" s="81" t="str">
        <f t="shared" si="13"/>
        <v>1G-SP2-IS4</v>
      </c>
      <c r="Q28" s="108">
        <f t="shared" si="14"/>
        <v>2</v>
      </c>
      <c r="T28" s="111" t="str">
        <f t="shared" si="15"/>
        <v>SF-4</v>
      </c>
    </row>
    <row r="29" spans="1:20" ht="18" customHeight="1" x14ac:dyDescent="0.2">
      <c r="A29" s="80" t="s">
        <v>176</v>
      </c>
      <c r="B29" s="77" t="s">
        <v>140</v>
      </c>
      <c r="C29" s="77" t="s">
        <v>179</v>
      </c>
      <c r="D29" s="55" t="s">
        <v>175</v>
      </c>
      <c r="E29" s="50" t="s">
        <v>1</v>
      </c>
      <c r="F29" s="57">
        <v>3</v>
      </c>
      <c r="G29" s="50" t="str">
        <f>VLOOKUP(MID(C29,1,2),LOOKUP!$A:$B,2,FALSE)&amp;MID(C29,FIND("-",C29)+1,3)</f>
        <v>SLA2</v>
      </c>
      <c r="H29" s="51" t="str">
        <f t="shared" si="18"/>
        <v>PWR-SP3-SLA2</v>
      </c>
      <c r="I29" s="59">
        <v>2</v>
      </c>
      <c r="J29" s="3"/>
      <c r="K29" s="105" t="str">
        <f t="shared" si="8"/>
        <v>RHFLR-V</v>
      </c>
      <c r="L29" s="78" t="str">
        <f t="shared" si="9"/>
        <v>CB-4</v>
      </c>
      <c r="M29" s="78" t="str">
        <f t="shared" si="10"/>
        <v>SLA-2</v>
      </c>
      <c r="N29" s="79" t="str">
        <f t="shared" si="11"/>
        <v>3100-0372-05</v>
      </c>
      <c r="O29" s="78" t="str">
        <f t="shared" si="12"/>
        <v>POWER</v>
      </c>
      <c r="P29" s="78" t="str">
        <f t="shared" si="13"/>
        <v>PWR-SP3-SLA2</v>
      </c>
      <c r="Q29" s="106">
        <f t="shared" si="14"/>
        <v>2</v>
      </c>
      <c r="T29" s="111" t="str">
        <f t="shared" si="15"/>
        <v>SLA-2</v>
      </c>
    </row>
    <row r="30" spans="1:20" ht="18" customHeight="1" thickBot="1" x14ac:dyDescent="0.25">
      <c r="A30" s="40" t="str">
        <f>A29</f>
        <v>RHFLR-V</v>
      </c>
      <c r="B30" s="33" t="str">
        <f>B29</f>
        <v>CB-4</v>
      </c>
      <c r="C30" s="33" t="str">
        <f>C29</f>
        <v>SLA-2</v>
      </c>
      <c r="D30" s="32" t="str">
        <f>"3100-0233-"&amp;MID(D29,11,2)</f>
        <v>3100-0233-05</v>
      </c>
      <c r="E30" s="33" t="s">
        <v>28</v>
      </c>
      <c r="F30" s="17">
        <f>F29</f>
        <v>3</v>
      </c>
      <c r="G30" s="33" t="str">
        <f>VLOOKUP(MID(C30,1,2),LOOKUP!$A:$B,2,FALSE)&amp;MID(C30,FIND("-",C30)+1,3)</f>
        <v>SLA2</v>
      </c>
      <c r="H30" s="32" t="str">
        <f t="shared" si="18"/>
        <v>1G-SP3-SLA2</v>
      </c>
      <c r="I30" s="58">
        <v>2</v>
      </c>
      <c r="J30" s="4"/>
      <c r="K30" s="107" t="str">
        <f t="shared" si="8"/>
        <v>RHFLR-V</v>
      </c>
      <c r="L30" s="81" t="str">
        <f t="shared" si="9"/>
        <v>CB-4</v>
      </c>
      <c r="M30" s="81" t="str">
        <f t="shared" si="10"/>
        <v>SLA-2</v>
      </c>
      <c r="N30" s="82" t="str">
        <f t="shared" si="11"/>
        <v>3100-0233-05</v>
      </c>
      <c r="O30" s="81" t="str">
        <f t="shared" si="12"/>
        <v>ETHERNET</v>
      </c>
      <c r="P30" s="81" t="str">
        <f t="shared" si="13"/>
        <v>1G-SP3-SLA2</v>
      </c>
      <c r="Q30" s="108">
        <f t="shared" si="14"/>
        <v>2</v>
      </c>
      <c r="T30" s="111" t="str">
        <f t="shared" si="15"/>
        <v>SLA-2</v>
      </c>
    </row>
    <row r="31" spans="1:20" ht="18" customHeight="1" x14ac:dyDescent="0.2">
      <c r="A31" s="80" t="s">
        <v>176</v>
      </c>
      <c r="B31" s="77" t="s">
        <v>140</v>
      </c>
      <c r="C31" s="77" t="s">
        <v>180</v>
      </c>
      <c r="D31" s="55" t="s">
        <v>175</v>
      </c>
      <c r="E31" s="50" t="s">
        <v>1</v>
      </c>
      <c r="F31" s="57">
        <v>4</v>
      </c>
      <c r="G31" s="50" t="str">
        <f>VLOOKUP(MID(C31,1,2),LOOKUP!$A:$B,2,FALSE)&amp;MID(C31,FIND("-",C31)+1,3)</f>
        <v>SLA4</v>
      </c>
      <c r="H31" s="51" t="str">
        <f t="shared" si="18"/>
        <v>PWR-SP4-SLA4</v>
      </c>
      <c r="I31" s="59">
        <v>2</v>
      </c>
      <c r="J31" s="3"/>
      <c r="K31" s="105" t="str">
        <f t="shared" si="8"/>
        <v>RHFLR-V</v>
      </c>
      <c r="L31" s="78" t="str">
        <f t="shared" si="9"/>
        <v>CB-4</v>
      </c>
      <c r="M31" s="78" t="str">
        <f t="shared" si="10"/>
        <v>SLA-4</v>
      </c>
      <c r="N31" s="79" t="str">
        <f t="shared" si="11"/>
        <v>3100-0372-05</v>
      </c>
      <c r="O31" s="78" t="str">
        <f t="shared" si="12"/>
        <v>POWER</v>
      </c>
      <c r="P31" s="78" t="str">
        <f t="shared" si="13"/>
        <v>PWR-SP4-SLA4</v>
      </c>
      <c r="Q31" s="106">
        <f t="shared" si="14"/>
        <v>2</v>
      </c>
      <c r="T31" s="111" t="str">
        <f t="shared" si="15"/>
        <v>SLA-4</v>
      </c>
    </row>
    <row r="32" spans="1:20" ht="18" customHeight="1" thickBot="1" x14ac:dyDescent="0.25">
      <c r="A32" s="40" t="str">
        <f>A31</f>
        <v>RHFLR-V</v>
      </c>
      <c r="B32" s="33" t="str">
        <f>B31</f>
        <v>CB-4</v>
      </c>
      <c r="C32" s="33" t="str">
        <f>C31</f>
        <v>SLA-4</v>
      </c>
      <c r="D32" s="32" t="str">
        <f>"3100-0233-"&amp;MID(D31,11,2)</f>
        <v>3100-0233-05</v>
      </c>
      <c r="E32" s="33" t="s">
        <v>28</v>
      </c>
      <c r="F32" s="17">
        <f>F31</f>
        <v>4</v>
      </c>
      <c r="G32" s="33" t="str">
        <f>VLOOKUP(MID(C32,1,2),LOOKUP!$A:$B,2,FALSE)&amp;MID(C32,FIND("-",C32)+1,3)</f>
        <v>SLA4</v>
      </c>
      <c r="H32" s="32" t="str">
        <f t="shared" si="18"/>
        <v>1G-SP4-SLA4</v>
      </c>
      <c r="I32" s="58">
        <v>2</v>
      </c>
      <c r="J32" s="4"/>
      <c r="K32" s="107" t="str">
        <f t="shared" si="8"/>
        <v>RHFLR-V</v>
      </c>
      <c r="L32" s="81" t="str">
        <f t="shared" si="9"/>
        <v>CB-4</v>
      </c>
      <c r="M32" s="81" t="str">
        <f t="shared" si="10"/>
        <v>SLA-4</v>
      </c>
      <c r="N32" s="82" t="str">
        <f t="shared" si="11"/>
        <v>3100-0233-05</v>
      </c>
      <c r="O32" s="81" t="str">
        <f t="shared" si="12"/>
        <v>ETHERNET</v>
      </c>
      <c r="P32" s="81" t="str">
        <f t="shared" si="13"/>
        <v>1G-SP4-SLA4</v>
      </c>
      <c r="Q32" s="108">
        <f t="shared" si="14"/>
        <v>2</v>
      </c>
      <c r="T32" s="111" t="str">
        <f t="shared" si="15"/>
        <v>SLA-4</v>
      </c>
    </row>
    <row r="33" spans="1:20" ht="18" customHeight="1" x14ac:dyDescent="0.2">
      <c r="A33" s="80" t="s">
        <v>181</v>
      </c>
      <c r="B33" s="77" t="s">
        <v>182</v>
      </c>
      <c r="C33" s="77" t="s">
        <v>183</v>
      </c>
      <c r="D33" s="55" t="s">
        <v>186</v>
      </c>
      <c r="E33" s="50" t="s">
        <v>1</v>
      </c>
      <c r="F33" s="57">
        <v>1</v>
      </c>
      <c r="G33" s="50" t="str">
        <f>VLOOKUP(MID(C33,1,2),LOOKUP!$A:$B,2,FALSE)&amp;MID(C33,FIND("-",C33)+1,3)</f>
        <v>MS1</v>
      </c>
      <c r="H33" s="51" t="str">
        <f t="shared" si="18"/>
        <v>PWR-SP1-MS1</v>
      </c>
      <c r="I33" s="59">
        <v>2</v>
      </c>
      <c r="J33" s="3"/>
      <c r="K33" s="105" t="str">
        <f t="shared" si="8"/>
        <v>MET-V</v>
      </c>
      <c r="L33" s="78" t="str">
        <f t="shared" si="9"/>
        <v>CB-1</v>
      </c>
      <c r="M33" s="78" t="str">
        <f t="shared" si="10"/>
        <v>MS-1</v>
      </c>
      <c r="N33" s="79" t="str">
        <f t="shared" si="11"/>
        <v>3100-0372-10</v>
      </c>
      <c r="O33" s="78" t="str">
        <f t="shared" si="12"/>
        <v>POWER</v>
      </c>
      <c r="P33" s="78" t="str">
        <f t="shared" si="13"/>
        <v>PWR-SP1-MS1</v>
      </c>
      <c r="Q33" s="106">
        <f t="shared" si="14"/>
        <v>2</v>
      </c>
      <c r="T33" s="111" t="str">
        <f t="shared" si="15"/>
        <v>MS-1</v>
      </c>
    </row>
    <row r="34" spans="1:20" ht="18" customHeight="1" thickBot="1" x14ac:dyDescent="0.25">
      <c r="A34" s="40" t="str">
        <f>A33</f>
        <v>MET-V</v>
      </c>
      <c r="B34" s="33" t="str">
        <f>B33</f>
        <v>CB-1</v>
      </c>
      <c r="C34" s="33" t="str">
        <f>C33</f>
        <v>MS-1</v>
      </c>
      <c r="D34" s="32" t="str">
        <f>"3100-0233-"&amp;MID(D33,11,2)</f>
        <v>3100-0233-10</v>
      </c>
      <c r="E34" s="33" t="s">
        <v>28</v>
      </c>
      <c r="F34" s="17">
        <f>F33</f>
        <v>1</v>
      </c>
      <c r="G34" s="33" t="str">
        <f>VLOOKUP(MID(C34,1,2),LOOKUP!$A:$B,2,FALSE)&amp;MID(C34,FIND("-",C34)+1,3)</f>
        <v>MS1</v>
      </c>
      <c r="H34" s="32" t="str">
        <f t="shared" si="18"/>
        <v>1G-SP1-MS1</v>
      </c>
      <c r="I34" s="58">
        <v>2</v>
      </c>
      <c r="J34" s="4"/>
      <c r="K34" s="107" t="str">
        <f t="shared" si="8"/>
        <v>MET-V</v>
      </c>
      <c r="L34" s="81" t="str">
        <f t="shared" si="9"/>
        <v>CB-1</v>
      </c>
      <c r="M34" s="81" t="str">
        <f t="shared" si="10"/>
        <v>MS-1</v>
      </c>
      <c r="N34" s="82" t="str">
        <f t="shared" si="11"/>
        <v>3100-0233-10</v>
      </c>
      <c r="O34" s="81" t="str">
        <f t="shared" si="12"/>
        <v>ETHERNET</v>
      </c>
      <c r="P34" s="81" t="str">
        <f t="shared" si="13"/>
        <v>1G-SP1-MS1</v>
      </c>
      <c r="Q34" s="108">
        <f t="shared" si="14"/>
        <v>2</v>
      </c>
      <c r="T34" s="111" t="str">
        <f t="shared" si="15"/>
        <v>MS-1</v>
      </c>
    </row>
    <row r="35" spans="1:20" ht="18" customHeight="1" x14ac:dyDescent="0.2">
      <c r="A35" s="80" t="s">
        <v>181</v>
      </c>
      <c r="B35" s="77" t="s">
        <v>182</v>
      </c>
      <c r="C35" s="77" t="s">
        <v>184</v>
      </c>
      <c r="D35" s="55" t="s">
        <v>187</v>
      </c>
      <c r="E35" s="50" t="s">
        <v>1</v>
      </c>
      <c r="F35" s="57">
        <v>2</v>
      </c>
      <c r="G35" s="50" t="str">
        <f>VLOOKUP(MID(C35,1,2),LOOKUP!$A:$B,2,FALSE)&amp;MID(C35,FIND("-",C35)+1,3)</f>
        <v>MS4</v>
      </c>
      <c r="H35" s="51" t="str">
        <f t="shared" si="18"/>
        <v>PWR-SP2-MS4</v>
      </c>
      <c r="I35" s="59">
        <v>2</v>
      </c>
      <c r="J35" s="3"/>
      <c r="K35" s="105" t="str">
        <f t="shared" si="8"/>
        <v>MET-V</v>
      </c>
      <c r="L35" s="78" t="str">
        <f t="shared" si="9"/>
        <v>CB-1</v>
      </c>
      <c r="M35" s="78" t="str">
        <f t="shared" si="10"/>
        <v>MS-4</v>
      </c>
      <c r="N35" s="79" t="str">
        <f t="shared" si="11"/>
        <v>3100-0372-15</v>
      </c>
      <c r="O35" s="78" t="str">
        <f t="shared" si="12"/>
        <v>POWER</v>
      </c>
      <c r="P35" s="78" t="str">
        <f t="shared" si="13"/>
        <v>PWR-SP2-MS4</v>
      </c>
      <c r="Q35" s="106">
        <f t="shared" si="14"/>
        <v>2</v>
      </c>
      <c r="T35" s="111" t="str">
        <f t="shared" si="15"/>
        <v>MS-4</v>
      </c>
    </row>
    <row r="36" spans="1:20" ht="18" customHeight="1" thickBot="1" x14ac:dyDescent="0.25">
      <c r="A36" s="40" t="str">
        <f>A35</f>
        <v>MET-V</v>
      </c>
      <c r="B36" s="33" t="str">
        <f>B35</f>
        <v>CB-1</v>
      </c>
      <c r="C36" s="33" t="str">
        <f>C35</f>
        <v>MS-4</v>
      </c>
      <c r="D36" s="32" t="str">
        <f>"3100-0233-"&amp;MID(D35,11,2)</f>
        <v>3100-0233-15</v>
      </c>
      <c r="E36" s="33" t="s">
        <v>28</v>
      </c>
      <c r="F36" s="33">
        <f>F35</f>
        <v>2</v>
      </c>
      <c r="G36" s="33" t="str">
        <f>VLOOKUP(MID(C36,1,2),LOOKUP!$A:$B,2,FALSE)&amp;MID(C36,FIND("-",C36)+1,3)</f>
        <v>MS4</v>
      </c>
      <c r="H36" s="32" t="str">
        <f t="shared" si="18"/>
        <v>1G-SP2-MS4</v>
      </c>
      <c r="I36" s="58">
        <v>2</v>
      </c>
      <c r="J36" s="4"/>
      <c r="K36" s="107" t="str">
        <f t="shared" si="8"/>
        <v>MET-V</v>
      </c>
      <c r="L36" s="81" t="str">
        <f t="shared" si="9"/>
        <v>CB-1</v>
      </c>
      <c r="M36" s="81" t="str">
        <f t="shared" si="10"/>
        <v>MS-4</v>
      </c>
      <c r="N36" s="82" t="str">
        <f t="shared" si="11"/>
        <v>3100-0233-15</v>
      </c>
      <c r="O36" s="81" t="str">
        <f t="shared" si="12"/>
        <v>ETHERNET</v>
      </c>
      <c r="P36" s="81" t="str">
        <f t="shared" si="13"/>
        <v>1G-SP2-MS4</v>
      </c>
      <c r="Q36" s="108">
        <f t="shared" si="14"/>
        <v>2</v>
      </c>
      <c r="T36" s="111" t="str">
        <f t="shared" si="15"/>
        <v>MS-4</v>
      </c>
    </row>
    <row r="37" spans="1:20" ht="18" customHeight="1" x14ac:dyDescent="0.2">
      <c r="A37" s="80" t="s">
        <v>181</v>
      </c>
      <c r="B37" s="77" t="s">
        <v>182</v>
      </c>
      <c r="C37" s="77" t="s">
        <v>185</v>
      </c>
      <c r="D37" s="55" t="s">
        <v>186</v>
      </c>
      <c r="E37" s="50" t="s">
        <v>1</v>
      </c>
      <c r="F37" s="57">
        <v>3</v>
      </c>
      <c r="G37" s="50" t="str">
        <f>VLOOKUP(MID(C37,1,2),LOOKUP!$A:$B,2,FALSE)&amp;MID(C37,FIND("-",C37)+1,3)</f>
        <v>MS5</v>
      </c>
      <c r="H37" s="51" t="str">
        <f t="shared" si="18"/>
        <v>PWR-SP3-MS5</v>
      </c>
      <c r="I37" s="59">
        <v>2</v>
      </c>
      <c r="J37" s="3"/>
      <c r="K37" s="105" t="str">
        <f t="shared" si="8"/>
        <v>MET-V</v>
      </c>
      <c r="L37" s="78" t="str">
        <f t="shared" si="9"/>
        <v>CB-1</v>
      </c>
      <c r="M37" s="78" t="str">
        <f t="shared" si="10"/>
        <v>MS-5</v>
      </c>
      <c r="N37" s="79" t="str">
        <f t="shared" si="11"/>
        <v>3100-0372-10</v>
      </c>
      <c r="O37" s="78" t="str">
        <f t="shared" si="12"/>
        <v>POWER</v>
      </c>
      <c r="P37" s="78" t="str">
        <f t="shared" si="13"/>
        <v>PWR-SP3-MS5</v>
      </c>
      <c r="Q37" s="106">
        <f t="shared" si="14"/>
        <v>2</v>
      </c>
      <c r="T37" s="111" t="str">
        <f t="shared" si="15"/>
        <v>MS-5</v>
      </c>
    </row>
    <row r="38" spans="1:20" ht="18" customHeight="1" thickBot="1" x14ac:dyDescent="0.25">
      <c r="A38" s="40" t="str">
        <f>A37</f>
        <v>MET-V</v>
      </c>
      <c r="B38" s="33" t="str">
        <f>B37</f>
        <v>CB-1</v>
      </c>
      <c r="C38" s="33" t="str">
        <f>C37</f>
        <v>MS-5</v>
      </c>
      <c r="D38" s="32" t="str">
        <f>"3100-0233-"&amp;MID(D37,11,2)</f>
        <v>3100-0233-10</v>
      </c>
      <c r="E38" s="33" t="s">
        <v>28</v>
      </c>
      <c r="F38" s="33">
        <f>F37</f>
        <v>3</v>
      </c>
      <c r="G38" s="33" t="str">
        <f>VLOOKUP(MID(C38,1,2),LOOKUP!$A:$B,2,FALSE)&amp;MID(C38,FIND("-",C38)+1,3)</f>
        <v>MS5</v>
      </c>
      <c r="H38" s="32" t="str">
        <f t="shared" si="18"/>
        <v>1G-SP3-MS5</v>
      </c>
      <c r="I38" s="58">
        <v>2</v>
      </c>
      <c r="J38" s="4"/>
      <c r="K38" s="107" t="str">
        <f t="shared" si="8"/>
        <v>MET-V</v>
      </c>
      <c r="L38" s="81" t="str">
        <f t="shared" si="9"/>
        <v>CB-1</v>
      </c>
      <c r="M38" s="81" t="str">
        <f t="shared" si="10"/>
        <v>MS-5</v>
      </c>
      <c r="N38" s="82" t="str">
        <f t="shared" si="11"/>
        <v>3100-0233-10</v>
      </c>
      <c r="O38" s="81" t="str">
        <f t="shared" si="12"/>
        <v>ETHERNET</v>
      </c>
      <c r="P38" s="81" t="str">
        <f t="shared" si="13"/>
        <v>1G-SP3-MS5</v>
      </c>
      <c r="Q38" s="108">
        <f t="shared" si="14"/>
        <v>2</v>
      </c>
      <c r="T38" s="111" t="str">
        <f t="shared" si="15"/>
        <v>MS-5</v>
      </c>
    </row>
    <row r="39" spans="1:20" ht="18" customHeight="1" x14ac:dyDescent="0.2">
      <c r="A39" s="80" t="s">
        <v>181</v>
      </c>
      <c r="B39" s="77" t="s">
        <v>138</v>
      </c>
      <c r="C39" s="77" t="s">
        <v>188</v>
      </c>
      <c r="D39" s="55" t="s">
        <v>186</v>
      </c>
      <c r="E39" s="50" t="s">
        <v>1</v>
      </c>
      <c r="F39" s="57">
        <v>1</v>
      </c>
      <c r="G39" s="50" t="str">
        <f>VLOOKUP(MID(C39,1,2),LOOKUP!$A:$B,2,FALSE)&amp;MID(C39,FIND("-",C39)+1,3)</f>
        <v>MS2</v>
      </c>
      <c r="H39" s="51" t="str">
        <f t="shared" si="18"/>
        <v>PWR-SP1-MS2</v>
      </c>
      <c r="I39" s="59">
        <v>2</v>
      </c>
      <c r="J39" s="3"/>
      <c r="K39" s="105" t="str">
        <f t="shared" si="8"/>
        <v>MET-V</v>
      </c>
      <c r="L39" s="78" t="str">
        <f t="shared" si="9"/>
        <v>CB-2</v>
      </c>
      <c r="M39" s="78" t="str">
        <f t="shared" si="10"/>
        <v>MS-2</v>
      </c>
      <c r="N39" s="79" t="str">
        <f t="shared" si="11"/>
        <v>3100-0372-10</v>
      </c>
      <c r="O39" s="78" t="str">
        <f t="shared" si="12"/>
        <v>POWER</v>
      </c>
      <c r="P39" s="78" t="str">
        <f t="shared" si="13"/>
        <v>PWR-SP1-MS2</v>
      </c>
      <c r="Q39" s="106">
        <f t="shared" si="14"/>
        <v>2</v>
      </c>
      <c r="T39" s="111" t="str">
        <f t="shared" si="15"/>
        <v>MS-2</v>
      </c>
    </row>
    <row r="40" spans="1:20" ht="18" customHeight="1" thickBot="1" x14ac:dyDescent="0.25">
      <c r="A40" s="40" t="str">
        <f>A39</f>
        <v>MET-V</v>
      </c>
      <c r="B40" s="33" t="str">
        <f>B39</f>
        <v>CB-2</v>
      </c>
      <c r="C40" s="33" t="str">
        <f>C39</f>
        <v>MS-2</v>
      </c>
      <c r="D40" s="32" t="str">
        <f>"3100-0233-"&amp;MID(D39,11,2)</f>
        <v>3100-0233-10</v>
      </c>
      <c r="E40" s="33" t="s">
        <v>28</v>
      </c>
      <c r="F40" s="17">
        <f>F39</f>
        <v>1</v>
      </c>
      <c r="G40" s="33" t="str">
        <f>VLOOKUP(MID(C40,1,2),LOOKUP!$A:$B,2,FALSE)&amp;MID(C40,FIND("-",C40)+1,3)</f>
        <v>MS2</v>
      </c>
      <c r="H40" s="32" t="str">
        <f t="shared" si="18"/>
        <v>1G-SP1-MS2</v>
      </c>
      <c r="I40" s="58">
        <v>2</v>
      </c>
      <c r="J40" s="4"/>
      <c r="K40" s="107" t="str">
        <f t="shared" si="8"/>
        <v>MET-V</v>
      </c>
      <c r="L40" s="81" t="str">
        <f t="shared" si="9"/>
        <v>CB-2</v>
      </c>
      <c r="M40" s="81" t="str">
        <f t="shared" si="10"/>
        <v>MS-2</v>
      </c>
      <c r="N40" s="82" t="str">
        <f t="shared" si="11"/>
        <v>3100-0233-10</v>
      </c>
      <c r="O40" s="81" t="str">
        <f t="shared" si="12"/>
        <v>ETHERNET</v>
      </c>
      <c r="P40" s="81" t="str">
        <f t="shared" si="13"/>
        <v>1G-SP1-MS2</v>
      </c>
      <c r="Q40" s="108">
        <f t="shared" si="14"/>
        <v>2</v>
      </c>
      <c r="T40" s="111" t="str">
        <f t="shared" si="15"/>
        <v>MS-2</v>
      </c>
    </row>
    <row r="41" spans="1:20" ht="18" customHeight="1" x14ac:dyDescent="0.2">
      <c r="A41" s="80" t="s">
        <v>181</v>
      </c>
      <c r="B41" s="77" t="s">
        <v>138</v>
      </c>
      <c r="C41" s="77" t="s">
        <v>189</v>
      </c>
      <c r="D41" s="55" t="s">
        <v>187</v>
      </c>
      <c r="E41" s="50" t="s">
        <v>1</v>
      </c>
      <c r="F41" s="57">
        <v>2</v>
      </c>
      <c r="G41" s="50" t="str">
        <f>VLOOKUP(MID(C41,1,2),LOOKUP!$A:$B,2,FALSE)&amp;MID(C41,FIND("-",C41)+1,3)</f>
        <v>MS3</v>
      </c>
      <c r="H41" s="51" t="str">
        <f t="shared" si="18"/>
        <v>PWR-SP2-MS3</v>
      </c>
      <c r="I41" s="59">
        <v>2</v>
      </c>
      <c r="J41" s="3"/>
      <c r="K41" s="105" t="str">
        <f t="shared" si="8"/>
        <v>MET-V</v>
      </c>
      <c r="L41" s="78" t="str">
        <f t="shared" si="9"/>
        <v>CB-2</v>
      </c>
      <c r="M41" s="78" t="str">
        <f t="shared" si="10"/>
        <v>MS-3</v>
      </c>
      <c r="N41" s="79" t="str">
        <f t="shared" si="11"/>
        <v>3100-0372-15</v>
      </c>
      <c r="O41" s="78" t="str">
        <f t="shared" si="12"/>
        <v>POWER</v>
      </c>
      <c r="P41" s="78" t="str">
        <f t="shared" si="13"/>
        <v>PWR-SP2-MS3</v>
      </c>
      <c r="Q41" s="106">
        <f t="shared" si="14"/>
        <v>2</v>
      </c>
      <c r="T41" s="111" t="str">
        <f t="shared" si="15"/>
        <v>MS-3</v>
      </c>
    </row>
    <row r="42" spans="1:20" ht="18" customHeight="1" thickBot="1" x14ac:dyDescent="0.25">
      <c r="A42" s="40" t="str">
        <f>A41</f>
        <v>MET-V</v>
      </c>
      <c r="B42" s="33" t="str">
        <f>B41</f>
        <v>CB-2</v>
      </c>
      <c r="C42" s="33" t="str">
        <f>C41</f>
        <v>MS-3</v>
      </c>
      <c r="D42" s="32" t="str">
        <f>"3100-0233-"&amp;MID(D41,11,2)</f>
        <v>3100-0233-15</v>
      </c>
      <c r="E42" s="33" t="s">
        <v>28</v>
      </c>
      <c r="F42" s="33">
        <f>F41</f>
        <v>2</v>
      </c>
      <c r="G42" s="33" t="str">
        <f>VLOOKUP(MID(C42,1,2),LOOKUP!$A:$B,2,FALSE)&amp;MID(C42,FIND("-",C42)+1,3)</f>
        <v>MS3</v>
      </c>
      <c r="H42" s="32" t="str">
        <f t="shared" si="18"/>
        <v>1G-SP2-MS3</v>
      </c>
      <c r="I42" s="58">
        <v>2</v>
      </c>
      <c r="J42" s="4"/>
      <c r="K42" s="107" t="str">
        <f t="shared" si="8"/>
        <v>MET-V</v>
      </c>
      <c r="L42" s="81" t="str">
        <f t="shared" si="9"/>
        <v>CB-2</v>
      </c>
      <c r="M42" s="81" t="str">
        <f t="shared" si="10"/>
        <v>MS-3</v>
      </c>
      <c r="N42" s="82" t="str">
        <f t="shared" si="11"/>
        <v>3100-0233-15</v>
      </c>
      <c r="O42" s="81" t="str">
        <f t="shared" si="12"/>
        <v>ETHERNET</v>
      </c>
      <c r="P42" s="81" t="str">
        <f t="shared" si="13"/>
        <v>1G-SP2-MS3</v>
      </c>
      <c r="Q42" s="108">
        <f t="shared" si="14"/>
        <v>2</v>
      </c>
      <c r="T42" s="111" t="str">
        <f t="shared" si="15"/>
        <v>MS-3</v>
      </c>
    </row>
    <row r="43" spans="1:20" ht="18" customHeight="1" x14ac:dyDescent="0.2">
      <c r="A43" s="80" t="s">
        <v>181</v>
      </c>
      <c r="B43" s="77" t="s">
        <v>138</v>
      </c>
      <c r="C43" s="77" t="s">
        <v>190</v>
      </c>
      <c r="D43" s="55" t="s">
        <v>186</v>
      </c>
      <c r="E43" s="50" t="s">
        <v>1</v>
      </c>
      <c r="F43" s="57">
        <v>3</v>
      </c>
      <c r="G43" s="50" t="str">
        <f>VLOOKUP(MID(C43,1,2),LOOKUP!$A:$B,2,FALSE)&amp;MID(C43,FIND("-",C43)+1,3)</f>
        <v>MS6</v>
      </c>
      <c r="H43" s="51" t="str">
        <f t="shared" si="18"/>
        <v>PWR-SP3-MS6</v>
      </c>
      <c r="I43" s="59">
        <v>2</v>
      </c>
      <c r="J43" s="3"/>
      <c r="K43" s="105" t="str">
        <f t="shared" si="8"/>
        <v>MET-V</v>
      </c>
      <c r="L43" s="78" t="str">
        <f t="shared" si="9"/>
        <v>CB-2</v>
      </c>
      <c r="M43" s="78" t="str">
        <f t="shared" si="10"/>
        <v>MS-6</v>
      </c>
      <c r="N43" s="79" t="str">
        <f t="shared" si="11"/>
        <v>3100-0372-10</v>
      </c>
      <c r="O43" s="78" t="str">
        <f t="shared" si="12"/>
        <v>POWER</v>
      </c>
      <c r="P43" s="78" t="str">
        <f t="shared" si="13"/>
        <v>PWR-SP3-MS6</v>
      </c>
      <c r="Q43" s="106">
        <f t="shared" si="14"/>
        <v>2</v>
      </c>
      <c r="T43" s="111" t="str">
        <f t="shared" si="15"/>
        <v>MS-6</v>
      </c>
    </row>
    <row r="44" spans="1:20" ht="18" customHeight="1" thickBot="1" x14ac:dyDescent="0.25">
      <c r="A44" s="40" t="str">
        <f>A43</f>
        <v>MET-V</v>
      </c>
      <c r="B44" s="33" t="str">
        <f>B43</f>
        <v>CB-2</v>
      </c>
      <c r="C44" s="33" t="str">
        <f>C43</f>
        <v>MS-6</v>
      </c>
      <c r="D44" s="32" t="str">
        <f>"3100-0233-"&amp;MID(D43,11,2)</f>
        <v>3100-0233-10</v>
      </c>
      <c r="E44" s="33" t="s">
        <v>28</v>
      </c>
      <c r="F44" s="33">
        <f>F43</f>
        <v>3</v>
      </c>
      <c r="G44" s="33" t="str">
        <f>VLOOKUP(MID(C44,1,2),LOOKUP!$A:$B,2,FALSE)&amp;MID(C44,FIND("-",C44)+1,3)</f>
        <v>MS6</v>
      </c>
      <c r="H44" s="32" t="str">
        <f t="shared" si="18"/>
        <v>1G-SP3-MS6</v>
      </c>
      <c r="I44" s="58">
        <v>2</v>
      </c>
      <c r="J44" s="4"/>
      <c r="K44" s="107" t="str">
        <f t="shared" si="8"/>
        <v>MET-V</v>
      </c>
      <c r="L44" s="81" t="str">
        <f t="shared" si="9"/>
        <v>CB-2</v>
      </c>
      <c r="M44" s="81" t="str">
        <f t="shared" si="10"/>
        <v>MS-6</v>
      </c>
      <c r="N44" s="82" t="str">
        <f t="shared" si="11"/>
        <v>3100-0233-10</v>
      </c>
      <c r="O44" s="81" t="str">
        <f t="shared" si="12"/>
        <v>ETHERNET</v>
      </c>
      <c r="P44" s="81" t="str">
        <f t="shared" si="13"/>
        <v>1G-SP3-MS6</v>
      </c>
      <c r="Q44" s="108">
        <f t="shared" si="14"/>
        <v>2</v>
      </c>
      <c r="T44" s="111" t="str">
        <f t="shared" si="15"/>
        <v>MS-6</v>
      </c>
    </row>
    <row r="45" spans="1:20" ht="18" customHeight="1" x14ac:dyDescent="0.2">
      <c r="A45" s="80"/>
      <c r="B45" s="77"/>
      <c r="C45" s="77"/>
      <c r="D45" s="55"/>
      <c r="E45" s="50"/>
      <c r="F45" s="57"/>
      <c r="G45" s="50"/>
      <c r="H45" s="51"/>
      <c r="I45" s="59"/>
      <c r="J45" s="3"/>
      <c r="K45" s="105"/>
      <c r="L45" s="78"/>
      <c r="M45" s="78"/>
      <c r="N45" s="79"/>
      <c r="O45" s="78"/>
      <c r="P45" s="78"/>
      <c r="Q45" s="106"/>
      <c r="T45" s="111" t="str">
        <f t="shared" si="15"/>
        <v/>
      </c>
    </row>
    <row r="46" spans="1:20" ht="18" customHeight="1" thickBot="1" x14ac:dyDescent="0.25">
      <c r="A46" s="40"/>
      <c r="B46" s="33"/>
      <c r="C46" s="33"/>
      <c r="D46" s="32"/>
      <c r="E46" s="33"/>
      <c r="F46" s="17"/>
      <c r="G46" s="33"/>
      <c r="H46" s="32"/>
      <c r="I46" s="58"/>
      <c r="J46" s="4"/>
      <c r="K46" s="107"/>
      <c r="L46" s="81"/>
      <c r="M46" s="81"/>
      <c r="N46" s="82"/>
      <c r="O46" s="81"/>
      <c r="P46" s="81"/>
      <c r="Q46" s="108"/>
      <c r="T46" s="111" t="str">
        <f t="shared" si="15"/>
        <v/>
      </c>
    </row>
    <row r="47" spans="1:20" ht="18" customHeight="1" x14ac:dyDescent="0.2">
      <c r="A47" s="80"/>
      <c r="B47" s="77"/>
      <c r="C47" s="77"/>
      <c r="D47" s="55"/>
      <c r="E47" s="50"/>
      <c r="F47" s="57"/>
      <c r="G47" s="50"/>
      <c r="H47" s="51"/>
      <c r="I47" s="59"/>
      <c r="J47" s="3"/>
      <c r="K47" s="105"/>
      <c r="L47" s="78"/>
      <c r="M47" s="78"/>
      <c r="N47" s="79"/>
      <c r="O47" s="78"/>
      <c r="P47" s="78"/>
      <c r="Q47" s="106"/>
      <c r="T47" s="111" t="str">
        <f t="shared" si="15"/>
        <v/>
      </c>
    </row>
    <row r="48" spans="1:20" ht="18" customHeight="1" thickBot="1" x14ac:dyDescent="0.25">
      <c r="A48" s="40"/>
      <c r="B48" s="33"/>
      <c r="C48" s="33"/>
      <c r="D48" s="32"/>
      <c r="E48" s="33"/>
      <c r="F48" s="33"/>
      <c r="G48" s="33"/>
      <c r="H48" s="32"/>
      <c r="I48" s="58"/>
      <c r="J48" s="4"/>
      <c r="K48" s="107"/>
      <c r="L48" s="81"/>
      <c r="M48" s="81"/>
      <c r="N48" s="82"/>
      <c r="O48" s="81"/>
      <c r="P48" s="81"/>
      <c r="Q48" s="108"/>
      <c r="T48" s="111" t="str">
        <f t="shared" si="15"/>
        <v/>
      </c>
    </row>
  </sheetData>
  <phoneticPr fontId="7" type="noConversion"/>
  <pageMargins left="0.7" right="0.7" top="0.75" bottom="0.75" header="0.3" footer="0.3"/>
  <pageSetup orientation="portrait" r:id="rId1"/>
  <headerFooter>
    <oddHeader>&amp;C&amp;"-,Bold"&amp;18&amp;A</oddHeader>
    <oddFooter>&amp;L&amp;D,
&amp;P of &amp;N&amp;R&amp;F</oddFooter>
  </headerFooter>
  <rowBreaks count="1" manualBreakCount="1">
    <brk id="22" min="10" max="1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ClearDeviceCables">
                <anchor moveWithCells="1" sizeWithCells="1">
                  <from>
                    <xdr:col>20</xdr:col>
                    <xdr:colOff>457200</xdr:colOff>
                    <xdr:row>3</xdr:row>
                    <xdr:rowOff>95250</xdr:rowOff>
                  </from>
                  <to>
                    <xdr:col>23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DF75-0614-4B31-9FA7-6EB8FA7A5E04}">
  <sheetPr codeName="Sheet2">
    <tabColor rgb="FF92D050"/>
  </sheetPr>
  <dimension ref="A1:B657"/>
  <sheetViews>
    <sheetView view="pageBreakPreview" zoomScale="60" zoomScaleNormal="100" workbookViewId="0">
      <selection activeCell="E52" sqref="E52"/>
    </sheetView>
  </sheetViews>
  <sheetFormatPr defaultColWidth="9.140625" defaultRowHeight="12.75" x14ac:dyDescent="0.2"/>
  <cols>
    <col min="1" max="1" width="13.42578125" style="2" bestFit="1" customWidth="1"/>
    <col min="2" max="16384" width="9.140625" style="2"/>
  </cols>
  <sheetData>
    <row r="1" spans="1:2" s="83" customFormat="1" x14ac:dyDescent="0.2">
      <c r="A1" s="83" t="s">
        <v>13</v>
      </c>
      <c r="B1" s="83" t="s">
        <v>16</v>
      </c>
    </row>
    <row r="2" spans="1:2" x14ac:dyDescent="0.2">
      <c r="A2" s="2" t="str">
        <f>IF('Device Cables'!H5&lt;&gt;"",'Device Cables'!H5,"")</f>
        <v>PWR-SP1-IS5</v>
      </c>
      <c r="B2" s="2">
        <f>IF('Device Cables'!I5&lt;&gt;"",'Device Cables'!I5,"")</f>
        <v>2</v>
      </c>
    </row>
    <row r="3" spans="1:2" x14ac:dyDescent="0.2">
      <c r="A3" s="2" t="str">
        <f>IF('Device Cables'!H6&lt;&gt;"",'Device Cables'!H6,"")</f>
        <v>1G-SP1-IS5</v>
      </c>
      <c r="B3" s="2">
        <f>IF('Device Cables'!I6&lt;&gt;"",'Device Cables'!I6,"")</f>
        <v>2</v>
      </c>
    </row>
    <row r="4" spans="1:2" x14ac:dyDescent="0.2">
      <c r="A4" s="2" t="str">
        <f>IF('Device Cables'!H7&lt;&gt;"",'Device Cables'!H7,"")</f>
        <v>PWR-SP2-NT1</v>
      </c>
      <c r="B4" s="2">
        <f>IF('Device Cables'!I7&lt;&gt;"",'Device Cables'!I7,"")</f>
        <v>2</v>
      </c>
    </row>
    <row r="5" spans="1:2" x14ac:dyDescent="0.2">
      <c r="A5" s="2" t="str">
        <f>IF('Device Cables'!H8&lt;&gt;"",'Device Cables'!H8,"")</f>
        <v>1G-SP2-NT1</v>
      </c>
      <c r="B5" s="2">
        <f>IF('Device Cables'!I8&lt;&gt;"",'Device Cables'!I8,"")</f>
        <v>2</v>
      </c>
    </row>
    <row r="6" spans="1:2" x14ac:dyDescent="0.2">
      <c r="A6" s="2" t="str">
        <f>IF('Device Cables'!H9&lt;&gt;"",'Device Cables'!H9,"")</f>
        <v>PWR-SP3-NT2</v>
      </c>
      <c r="B6" s="2">
        <f>IF('Device Cables'!I9&lt;&gt;"",'Device Cables'!I9,"")</f>
        <v>2</v>
      </c>
    </row>
    <row r="7" spans="1:2" x14ac:dyDescent="0.2">
      <c r="A7" s="2" t="str">
        <f>IF('Device Cables'!H10&lt;&gt;"",'Device Cables'!H10,"")</f>
        <v>1G-SP3-NT2</v>
      </c>
      <c r="B7" s="2">
        <f>IF('Device Cables'!I10&lt;&gt;"",'Device Cables'!I10,"")</f>
        <v>2</v>
      </c>
    </row>
    <row r="8" spans="1:2" x14ac:dyDescent="0.2">
      <c r="A8" s="2" t="str">
        <f>IF('Device Cables'!H11&lt;&gt;"",'Device Cables'!H11,"")</f>
        <v>PWR-SP1-IS6</v>
      </c>
      <c r="B8" s="2">
        <f>IF('Device Cables'!I11&lt;&gt;"",'Device Cables'!I11,"")</f>
        <v>2</v>
      </c>
    </row>
    <row r="9" spans="1:2" x14ac:dyDescent="0.2">
      <c r="A9" s="2" t="str">
        <f>IF('Device Cables'!H12&lt;&gt;"",'Device Cables'!H12,"")</f>
        <v>1G-SP1-IS6</v>
      </c>
      <c r="B9" s="2">
        <f>IF('Device Cables'!I12&lt;&gt;"",'Device Cables'!I12,"")</f>
        <v>2</v>
      </c>
    </row>
    <row r="10" spans="1:2" x14ac:dyDescent="0.2">
      <c r="A10" s="2" t="str">
        <f>IF('Device Cables'!H13&lt;&gt;"",'Device Cables'!H13,"")</f>
        <v>PWR-SP2-NT1</v>
      </c>
      <c r="B10" s="2">
        <f>IF('Device Cables'!I13&lt;&gt;"",'Device Cables'!I13,"")</f>
        <v>2</v>
      </c>
    </row>
    <row r="11" spans="1:2" x14ac:dyDescent="0.2">
      <c r="A11" s="2" t="str">
        <f>IF('Device Cables'!H14&lt;&gt;"",'Device Cables'!H14,"")</f>
        <v>1G-SP2-NT1</v>
      </c>
      <c r="B11" s="2">
        <f>IF('Device Cables'!I14&lt;&gt;"",'Device Cables'!I14,"")</f>
        <v>2</v>
      </c>
    </row>
    <row r="12" spans="1:2" x14ac:dyDescent="0.2">
      <c r="A12" s="2" t="str">
        <f>IF('Device Cables'!H15&lt;&gt;"",'Device Cables'!H15,"")</f>
        <v>PWR-SP3-NT2</v>
      </c>
      <c r="B12" s="2">
        <f>IF('Device Cables'!I15&lt;&gt;"",'Device Cables'!I15,"")</f>
        <v>2</v>
      </c>
    </row>
    <row r="13" spans="1:2" x14ac:dyDescent="0.2">
      <c r="A13" s="2" t="str">
        <f>IF('Device Cables'!H16&lt;&gt;"",'Device Cables'!H16,"")</f>
        <v>1G-SP3-NT2</v>
      </c>
      <c r="B13" s="2">
        <f>IF('Device Cables'!I16&lt;&gt;"",'Device Cables'!I16,"")</f>
        <v>2</v>
      </c>
    </row>
    <row r="14" spans="1:2" x14ac:dyDescent="0.2">
      <c r="A14" s="2" t="str">
        <f>IF('Device Cables'!H17&lt;&gt;"",'Device Cables'!H17,"")</f>
        <v>PWR-SP1-IS1</v>
      </c>
      <c r="B14" s="2">
        <f>IF('Device Cables'!I17&lt;&gt;"",'Device Cables'!I17,"")</f>
        <v>2</v>
      </c>
    </row>
    <row r="15" spans="1:2" x14ac:dyDescent="0.2">
      <c r="A15" s="2" t="str">
        <f>IF('Device Cables'!H18&lt;&gt;"",'Device Cables'!H18,"")</f>
        <v>1G-SP1-IS1</v>
      </c>
      <c r="B15" s="2">
        <f>IF('Device Cables'!I18&lt;&gt;"",'Device Cables'!I18,"")</f>
        <v>2</v>
      </c>
    </row>
    <row r="16" spans="1:2" x14ac:dyDescent="0.2">
      <c r="A16" s="2" t="str">
        <f>IF('Device Cables'!H19&lt;&gt;"",'Device Cables'!H19,"")</f>
        <v>PWR-SP2-IS3</v>
      </c>
      <c r="B16" s="2">
        <f>IF('Device Cables'!I19&lt;&gt;"",'Device Cables'!I19,"")</f>
        <v>2</v>
      </c>
    </row>
    <row r="17" spans="1:2" x14ac:dyDescent="0.2">
      <c r="A17" s="2" t="str">
        <f>IF('Device Cables'!H20&lt;&gt;"",'Device Cables'!H20,"")</f>
        <v>1G-SP2-IS3</v>
      </c>
      <c r="B17" s="2">
        <f>IF('Device Cables'!I20&lt;&gt;"",'Device Cables'!I20,"")</f>
        <v>2</v>
      </c>
    </row>
    <row r="18" spans="1:2" x14ac:dyDescent="0.2">
      <c r="A18" s="2" t="str">
        <f>IF('Device Cables'!H21&lt;&gt;"",'Device Cables'!H21,"")</f>
        <v>PWR-SP3-SLA1</v>
      </c>
      <c r="B18" s="2">
        <f>IF('Device Cables'!I21&lt;&gt;"",'Device Cables'!I21,"")</f>
        <v>2</v>
      </c>
    </row>
    <row r="19" spans="1:2" x14ac:dyDescent="0.2">
      <c r="A19" s="2" t="str">
        <f>IF('Device Cables'!H22&lt;&gt;"",'Device Cables'!H22,"")</f>
        <v>1G-SP3-SLA1</v>
      </c>
      <c r="B19" s="2">
        <f>IF('Device Cables'!I22&lt;&gt;"",'Device Cables'!I22,"")</f>
        <v>2</v>
      </c>
    </row>
    <row r="20" spans="1:2" x14ac:dyDescent="0.2">
      <c r="A20" s="2" t="str">
        <f>IF('Device Cables'!H23&lt;&gt;"",'Device Cables'!H23,"")</f>
        <v>PWR-SP4-SLA3</v>
      </c>
      <c r="B20" s="2">
        <f>IF('Device Cables'!I23&lt;&gt;"",'Device Cables'!I23,"")</f>
        <v>2</v>
      </c>
    </row>
    <row r="21" spans="1:2" x14ac:dyDescent="0.2">
      <c r="A21" s="2" t="str">
        <f>IF('Device Cables'!H24&lt;&gt;"",'Device Cables'!H24,"")</f>
        <v>1G-SP4-SLA3</v>
      </c>
      <c r="B21" s="2">
        <f>IF('Device Cables'!I24&lt;&gt;"",'Device Cables'!I24,"")</f>
        <v>2</v>
      </c>
    </row>
    <row r="22" spans="1:2" x14ac:dyDescent="0.2">
      <c r="A22" s="2" t="str">
        <f>IF('Device Cables'!H25&lt;&gt;"",'Device Cables'!H25,"")</f>
        <v>PWR-SP1-IS2</v>
      </c>
      <c r="B22" s="2">
        <f>IF('Device Cables'!I25&lt;&gt;"",'Device Cables'!I25,"")</f>
        <v>2</v>
      </c>
    </row>
    <row r="23" spans="1:2" x14ac:dyDescent="0.2">
      <c r="A23" s="2" t="str">
        <f>IF('Device Cables'!H26&lt;&gt;"",'Device Cables'!H26,"")</f>
        <v>1G-SP1-IS2</v>
      </c>
      <c r="B23" s="2">
        <f>IF('Device Cables'!I26&lt;&gt;"",'Device Cables'!I26,"")</f>
        <v>2</v>
      </c>
    </row>
    <row r="24" spans="1:2" x14ac:dyDescent="0.2">
      <c r="A24" s="2" t="str">
        <f>IF('Device Cables'!H27&lt;&gt;"",'Device Cables'!H27,"")</f>
        <v>PWR-SP2-IS4</v>
      </c>
      <c r="B24" s="2">
        <f>IF('Device Cables'!I27&lt;&gt;"",'Device Cables'!I27,"")</f>
        <v>2</v>
      </c>
    </row>
    <row r="25" spans="1:2" x14ac:dyDescent="0.2">
      <c r="A25" s="2" t="str">
        <f>IF('Device Cables'!H28&lt;&gt;"",'Device Cables'!H28,"")</f>
        <v>1G-SP2-IS4</v>
      </c>
      <c r="B25" s="2">
        <f>IF('Device Cables'!I28&lt;&gt;"",'Device Cables'!I28,"")</f>
        <v>2</v>
      </c>
    </row>
    <row r="26" spans="1:2" x14ac:dyDescent="0.2">
      <c r="A26" s="2" t="str">
        <f>IF('Device Cables'!H29&lt;&gt;"",'Device Cables'!H29,"")</f>
        <v>PWR-SP3-SLA2</v>
      </c>
      <c r="B26" s="2">
        <f>IF('Device Cables'!I29&lt;&gt;"",'Device Cables'!I29,"")</f>
        <v>2</v>
      </c>
    </row>
    <row r="27" spans="1:2" x14ac:dyDescent="0.2">
      <c r="A27" s="2" t="str">
        <f>IF('Device Cables'!H30&lt;&gt;"",'Device Cables'!H30,"")</f>
        <v>1G-SP3-SLA2</v>
      </c>
      <c r="B27" s="2">
        <f>IF('Device Cables'!I30&lt;&gt;"",'Device Cables'!I30,"")</f>
        <v>2</v>
      </c>
    </row>
    <row r="28" spans="1:2" x14ac:dyDescent="0.2">
      <c r="A28" s="2" t="str">
        <f>IF('Device Cables'!H31&lt;&gt;"",'Device Cables'!H31,"")</f>
        <v>PWR-SP4-SLA4</v>
      </c>
      <c r="B28" s="2">
        <f>IF('Device Cables'!I31&lt;&gt;"",'Device Cables'!I31,"")</f>
        <v>2</v>
      </c>
    </row>
    <row r="29" spans="1:2" x14ac:dyDescent="0.2">
      <c r="A29" s="2" t="str">
        <f>IF('Device Cables'!H32&lt;&gt;"",'Device Cables'!H32,"")</f>
        <v>1G-SP4-SLA4</v>
      </c>
      <c r="B29" s="2">
        <f>IF('Device Cables'!I32&lt;&gt;"",'Device Cables'!I32,"")</f>
        <v>2</v>
      </c>
    </row>
    <row r="30" spans="1:2" x14ac:dyDescent="0.2">
      <c r="A30" s="2" t="str">
        <f>IF('Device Cables'!H33&lt;&gt;"",'Device Cables'!H33,"")</f>
        <v>PWR-SP1-MS1</v>
      </c>
      <c r="B30" s="2">
        <f>IF('Device Cables'!I33&lt;&gt;"",'Device Cables'!I33,"")</f>
        <v>2</v>
      </c>
    </row>
    <row r="31" spans="1:2" x14ac:dyDescent="0.2">
      <c r="A31" s="2" t="str">
        <f>IF('Device Cables'!H34&lt;&gt;"",'Device Cables'!H34,"")</f>
        <v>1G-SP1-MS1</v>
      </c>
      <c r="B31" s="2">
        <f>IF('Device Cables'!I34&lt;&gt;"",'Device Cables'!I34,"")</f>
        <v>2</v>
      </c>
    </row>
    <row r="32" spans="1:2" x14ac:dyDescent="0.2">
      <c r="A32" s="2" t="str">
        <f>IF('Device Cables'!H35&lt;&gt;"",'Device Cables'!H35,"")</f>
        <v>PWR-SP2-MS4</v>
      </c>
      <c r="B32" s="2">
        <f>IF('Device Cables'!I35&lt;&gt;"",'Device Cables'!I35,"")</f>
        <v>2</v>
      </c>
    </row>
    <row r="33" spans="1:2" x14ac:dyDescent="0.2">
      <c r="A33" s="2" t="str">
        <f>IF('Device Cables'!H36&lt;&gt;"",'Device Cables'!H36,"")</f>
        <v>1G-SP2-MS4</v>
      </c>
      <c r="B33" s="2">
        <f>IF('Device Cables'!I36&lt;&gt;"",'Device Cables'!I36,"")</f>
        <v>2</v>
      </c>
    </row>
    <row r="34" spans="1:2" x14ac:dyDescent="0.2">
      <c r="A34" s="2" t="str">
        <f>IF('Device Cables'!H37&lt;&gt;"",'Device Cables'!H37,"")</f>
        <v>PWR-SP3-MS5</v>
      </c>
      <c r="B34" s="2">
        <f>IF('Device Cables'!I37&lt;&gt;"",'Device Cables'!I37,"")</f>
        <v>2</v>
      </c>
    </row>
    <row r="35" spans="1:2" x14ac:dyDescent="0.2">
      <c r="A35" s="2" t="str">
        <f>IF('Device Cables'!H38&lt;&gt;"",'Device Cables'!H38,"")</f>
        <v>1G-SP3-MS5</v>
      </c>
      <c r="B35" s="2">
        <f>IF('Device Cables'!I38&lt;&gt;"",'Device Cables'!I38,"")</f>
        <v>2</v>
      </c>
    </row>
    <row r="36" spans="1:2" x14ac:dyDescent="0.2">
      <c r="A36" s="2" t="str">
        <f>IF('Device Cables'!H39&lt;&gt;"",'Device Cables'!H39,"")</f>
        <v>PWR-SP1-MS2</v>
      </c>
      <c r="B36" s="2">
        <f>IF('Device Cables'!I39&lt;&gt;"",'Device Cables'!I39,"")</f>
        <v>2</v>
      </c>
    </row>
    <row r="37" spans="1:2" x14ac:dyDescent="0.2">
      <c r="A37" s="2" t="str">
        <f>IF('Device Cables'!H40&lt;&gt;"",'Device Cables'!H40,"")</f>
        <v>1G-SP1-MS2</v>
      </c>
      <c r="B37" s="2">
        <f>IF('Device Cables'!I40&lt;&gt;"",'Device Cables'!I40,"")</f>
        <v>2</v>
      </c>
    </row>
    <row r="38" spans="1:2" x14ac:dyDescent="0.2">
      <c r="A38" s="2" t="str">
        <f>IF('Device Cables'!H41&lt;&gt;"",'Device Cables'!H41,"")</f>
        <v>PWR-SP2-MS3</v>
      </c>
      <c r="B38" s="2">
        <f>IF('Device Cables'!I41&lt;&gt;"",'Device Cables'!I41,"")</f>
        <v>2</v>
      </c>
    </row>
    <row r="39" spans="1:2" x14ac:dyDescent="0.2">
      <c r="A39" s="2" t="str">
        <f>IF('Device Cables'!H42&lt;&gt;"",'Device Cables'!H42,"")</f>
        <v>1G-SP2-MS3</v>
      </c>
      <c r="B39" s="2">
        <f>IF('Device Cables'!I42&lt;&gt;"",'Device Cables'!I42,"")</f>
        <v>2</v>
      </c>
    </row>
    <row r="40" spans="1:2" x14ac:dyDescent="0.2">
      <c r="A40" s="2" t="str">
        <f>IF('Device Cables'!H43&lt;&gt;"",'Device Cables'!H43,"")</f>
        <v>PWR-SP3-MS6</v>
      </c>
      <c r="B40" s="2">
        <f>IF('Device Cables'!I43&lt;&gt;"",'Device Cables'!I43,"")</f>
        <v>2</v>
      </c>
    </row>
    <row r="41" spans="1:2" x14ac:dyDescent="0.2">
      <c r="A41" s="2" t="str">
        <f>IF('Device Cables'!H44&lt;&gt;"",'Device Cables'!H44,"")</f>
        <v>1G-SP3-MS6</v>
      </c>
      <c r="B41" s="2">
        <f>IF('Device Cables'!I44&lt;&gt;"",'Device Cables'!I44,"")</f>
        <v>2</v>
      </c>
    </row>
    <row r="42" spans="1:2" x14ac:dyDescent="0.2">
      <c r="A42" s="2" t="str">
        <f>IF('Device Cables'!H45&lt;&gt;"",'Device Cables'!H45,"")</f>
        <v/>
      </c>
      <c r="B42" s="2" t="str">
        <f>IF('Device Cables'!I45&lt;&gt;"",'Device Cables'!I45,"")</f>
        <v/>
      </c>
    </row>
    <row r="43" spans="1:2" x14ac:dyDescent="0.2">
      <c r="A43" s="2" t="str">
        <f>IF('Device Cables'!H46&lt;&gt;"",'Device Cables'!H46,"")</f>
        <v/>
      </c>
      <c r="B43" s="2" t="str">
        <f>IF('Device Cables'!I46&lt;&gt;"",'Device Cables'!I46,"")</f>
        <v/>
      </c>
    </row>
    <row r="44" spans="1:2" x14ac:dyDescent="0.2">
      <c r="A44" s="2" t="str">
        <f>IF('Device Cables'!H47&lt;&gt;"",'Device Cables'!H47,"")</f>
        <v/>
      </c>
      <c r="B44" s="2" t="str">
        <f>IF('Device Cables'!I47&lt;&gt;"",'Device Cables'!I47,"")</f>
        <v/>
      </c>
    </row>
    <row r="45" spans="1:2" x14ac:dyDescent="0.2">
      <c r="A45" s="2" t="str">
        <f>IF('Device Cables'!H48&lt;&gt;"",'Device Cables'!H48,"")</f>
        <v/>
      </c>
      <c r="B45" s="2" t="str">
        <f>IF('Device Cables'!I48&lt;&gt;"",'Device Cables'!I48,"")</f>
        <v/>
      </c>
    </row>
    <row r="46" spans="1:2" x14ac:dyDescent="0.2">
      <c r="A46" s="2" t="str">
        <f>IF('Device Cables'!H49&lt;&gt;"",'Device Cables'!H49,"")</f>
        <v/>
      </c>
      <c r="B46" s="2" t="str">
        <f>IF('Device Cables'!I49&lt;&gt;"",'Device Cables'!I49,"")</f>
        <v/>
      </c>
    </row>
    <row r="47" spans="1:2" x14ac:dyDescent="0.2">
      <c r="A47" s="2" t="str">
        <f>IF('Device Cables'!H50&lt;&gt;"",'Device Cables'!H50,"")</f>
        <v/>
      </c>
      <c r="B47" s="2" t="str">
        <f>IF('Device Cables'!I50&lt;&gt;"",'Device Cables'!I50,"")</f>
        <v/>
      </c>
    </row>
    <row r="48" spans="1:2" x14ac:dyDescent="0.2">
      <c r="A48" s="2" t="str">
        <f>IF('Device Cables'!H51&lt;&gt;"",'Device Cables'!H51,"")</f>
        <v/>
      </c>
      <c r="B48" s="2" t="str">
        <f>IF('Device Cables'!I51&lt;&gt;"",'Device Cables'!I51,"")</f>
        <v/>
      </c>
    </row>
    <row r="49" spans="1:2" x14ac:dyDescent="0.2">
      <c r="A49" s="2" t="str">
        <f>IF('Device Cables'!H52&lt;&gt;"",'Device Cables'!H52,"")</f>
        <v/>
      </c>
      <c r="B49" s="2" t="str">
        <f>IF('Device Cables'!I52&lt;&gt;"",'Device Cables'!I52,"")</f>
        <v/>
      </c>
    </row>
    <row r="50" spans="1:2" x14ac:dyDescent="0.2">
      <c r="A50" s="2" t="str">
        <f>IF('Device Cables'!H53&lt;&gt;"",'Device Cables'!H53,"")</f>
        <v/>
      </c>
      <c r="B50" s="2" t="str">
        <f>IF('Device Cables'!I53&lt;&gt;"",'Device Cables'!I53,"")</f>
        <v/>
      </c>
    </row>
    <row r="51" spans="1:2" x14ac:dyDescent="0.2">
      <c r="A51" s="2" t="str">
        <f>IF('Device Cables'!H54&lt;&gt;"",'Device Cables'!H54,"")</f>
        <v/>
      </c>
      <c r="B51" s="2" t="str">
        <f>IF('Device Cables'!I54&lt;&gt;"",'Device Cables'!I54,"")</f>
        <v/>
      </c>
    </row>
    <row r="52" spans="1:2" x14ac:dyDescent="0.2">
      <c r="A52" s="2" t="str">
        <f>IF('Device Cables'!H55&lt;&gt;"",'Device Cables'!H55,"")</f>
        <v/>
      </c>
      <c r="B52" s="2" t="str">
        <f>IF('Device Cables'!I55&lt;&gt;"",'Device Cables'!I55,"")</f>
        <v/>
      </c>
    </row>
    <row r="53" spans="1:2" x14ac:dyDescent="0.2">
      <c r="A53" s="2" t="str">
        <f>IF('Device Cables'!H56&lt;&gt;"",'Device Cables'!H56,"")</f>
        <v/>
      </c>
      <c r="B53" s="2" t="str">
        <f>IF('Device Cables'!I56&lt;&gt;"",'Device Cables'!I56,"")</f>
        <v/>
      </c>
    </row>
    <row r="54" spans="1:2" x14ac:dyDescent="0.2">
      <c r="A54" s="2" t="str">
        <f>IF('Device Cables'!H57&lt;&gt;"",'Device Cables'!H57,"")</f>
        <v/>
      </c>
      <c r="B54" s="2" t="str">
        <f>IF('Device Cables'!I57&lt;&gt;"",'Device Cables'!I57,"")</f>
        <v/>
      </c>
    </row>
    <row r="55" spans="1:2" x14ac:dyDescent="0.2">
      <c r="A55" s="2" t="str">
        <f>IF('Device Cables'!H58&lt;&gt;"",'Device Cables'!H58,"")</f>
        <v/>
      </c>
      <c r="B55" s="2" t="str">
        <f>IF('Device Cables'!I58&lt;&gt;"",'Device Cables'!I58,"")</f>
        <v/>
      </c>
    </row>
    <row r="56" spans="1:2" x14ac:dyDescent="0.2">
      <c r="A56" s="2" t="str">
        <f>IF('Device Cables'!H59&lt;&gt;"",'Device Cables'!H59,"")</f>
        <v/>
      </c>
      <c r="B56" s="2" t="str">
        <f>IF('Device Cables'!I59&lt;&gt;"",'Device Cables'!I59,"")</f>
        <v/>
      </c>
    </row>
    <row r="57" spans="1:2" x14ac:dyDescent="0.2">
      <c r="A57" s="2" t="str">
        <f>IF('Device Cables'!H60&lt;&gt;"",'Device Cables'!H60,"")</f>
        <v/>
      </c>
      <c r="B57" s="2" t="str">
        <f>IF('Device Cables'!I60&lt;&gt;"",'Device Cables'!I60,"")</f>
        <v/>
      </c>
    </row>
    <row r="58" spans="1:2" x14ac:dyDescent="0.2">
      <c r="A58" s="2" t="str">
        <f>IF('Device Cables'!H61&lt;&gt;"",'Device Cables'!H61,"")</f>
        <v/>
      </c>
      <c r="B58" s="2" t="str">
        <f>IF('Device Cables'!I61&lt;&gt;"",'Device Cables'!I61,"")</f>
        <v/>
      </c>
    </row>
    <row r="59" spans="1:2" x14ac:dyDescent="0.2">
      <c r="A59" s="2" t="str">
        <f>IF('Device Cables'!H62&lt;&gt;"",'Device Cables'!H62,"")</f>
        <v/>
      </c>
      <c r="B59" s="2" t="str">
        <f>IF('Device Cables'!I62&lt;&gt;"",'Device Cables'!I62,"")</f>
        <v/>
      </c>
    </row>
    <row r="60" spans="1:2" x14ac:dyDescent="0.2">
      <c r="A60" s="2" t="str">
        <f>IF('Device Cables'!H63&lt;&gt;"",'Device Cables'!H63,"")</f>
        <v/>
      </c>
      <c r="B60" s="2" t="str">
        <f>IF('Device Cables'!I63&lt;&gt;"",'Device Cables'!I63,"")</f>
        <v/>
      </c>
    </row>
    <row r="61" spans="1:2" x14ac:dyDescent="0.2">
      <c r="A61" s="2" t="str">
        <f>IF('Device Cables'!H64&lt;&gt;"",'Device Cables'!H64,"")</f>
        <v/>
      </c>
      <c r="B61" s="2" t="str">
        <f>IF('Device Cables'!I64&lt;&gt;"",'Device Cables'!I64,"")</f>
        <v/>
      </c>
    </row>
    <row r="62" spans="1:2" x14ac:dyDescent="0.2">
      <c r="A62" s="2" t="str">
        <f>IF('Device Cables'!H65&lt;&gt;"",'Device Cables'!H65,"")</f>
        <v/>
      </c>
      <c r="B62" s="2" t="str">
        <f>IF('Device Cables'!I65&lt;&gt;"",'Device Cables'!I65,"")</f>
        <v/>
      </c>
    </row>
    <row r="63" spans="1:2" x14ac:dyDescent="0.2">
      <c r="A63" s="2" t="str">
        <f>IF('Device Cables'!H66&lt;&gt;"",'Device Cables'!H66,"")</f>
        <v/>
      </c>
      <c r="B63" s="2" t="str">
        <f>IF('Device Cables'!I66&lt;&gt;"",'Device Cables'!I66,"")</f>
        <v/>
      </c>
    </row>
    <row r="64" spans="1:2" x14ac:dyDescent="0.2">
      <c r="A64" s="2" t="str">
        <f>IF('Device Cables'!H67&lt;&gt;"",'Device Cables'!H67,"")</f>
        <v/>
      </c>
      <c r="B64" s="2" t="str">
        <f>IF('Device Cables'!I67&lt;&gt;"",'Device Cables'!I67,"")</f>
        <v/>
      </c>
    </row>
    <row r="65" spans="1:2" x14ac:dyDescent="0.2">
      <c r="A65" s="2" t="str">
        <f>IF('Device Cables'!H68&lt;&gt;"",'Device Cables'!H68,"")</f>
        <v/>
      </c>
      <c r="B65" s="2" t="str">
        <f>IF('Device Cables'!I68&lt;&gt;"",'Device Cables'!I68,"")</f>
        <v/>
      </c>
    </row>
    <row r="66" spans="1:2" x14ac:dyDescent="0.2">
      <c r="A66" s="2" t="str">
        <f>IF('Device Cables'!H69&lt;&gt;"",'Device Cables'!H69,"")</f>
        <v/>
      </c>
      <c r="B66" s="2" t="str">
        <f>IF('Device Cables'!I69&lt;&gt;"",'Device Cables'!I69,"")</f>
        <v/>
      </c>
    </row>
    <row r="67" spans="1:2" x14ac:dyDescent="0.2">
      <c r="A67" s="2" t="str">
        <f>IF('Device Cables'!H70&lt;&gt;"",'Device Cables'!H70,"")</f>
        <v/>
      </c>
      <c r="B67" s="2" t="str">
        <f>IF('Device Cables'!I70&lt;&gt;"",'Device Cables'!I70,"")</f>
        <v/>
      </c>
    </row>
    <row r="68" spans="1:2" x14ac:dyDescent="0.2">
      <c r="A68" s="2" t="str">
        <f>IF('Device Cables'!H71&lt;&gt;"",'Device Cables'!H71,"")</f>
        <v/>
      </c>
      <c r="B68" s="2" t="str">
        <f>IF('Device Cables'!I71&lt;&gt;"",'Device Cables'!I71,"")</f>
        <v/>
      </c>
    </row>
    <row r="69" spans="1:2" x14ac:dyDescent="0.2">
      <c r="A69" s="2" t="str">
        <f>IF('Device Cables'!H72&lt;&gt;"",'Device Cables'!H72,"")</f>
        <v/>
      </c>
      <c r="B69" s="2" t="str">
        <f>IF('Device Cables'!I72&lt;&gt;"",'Device Cables'!I72,"")</f>
        <v/>
      </c>
    </row>
    <row r="70" spans="1:2" x14ac:dyDescent="0.2">
      <c r="A70" s="2" t="str">
        <f>IF('Device Cables'!H73&lt;&gt;"",'Device Cables'!H73,"")</f>
        <v/>
      </c>
      <c r="B70" s="2" t="str">
        <f>IF('Device Cables'!I73&lt;&gt;"",'Device Cables'!I73,"")</f>
        <v/>
      </c>
    </row>
    <row r="71" spans="1:2" x14ac:dyDescent="0.2">
      <c r="A71" s="2" t="str">
        <f>IF('Device Cables'!H74&lt;&gt;"",'Device Cables'!H74,"")</f>
        <v/>
      </c>
      <c r="B71" s="2" t="str">
        <f>IF('Device Cables'!I74&lt;&gt;"",'Device Cables'!I74,"")</f>
        <v/>
      </c>
    </row>
    <row r="72" spans="1:2" x14ac:dyDescent="0.2">
      <c r="A72" s="2" t="str">
        <f>IF('Device Cables'!H75&lt;&gt;"",'Device Cables'!H75,"")</f>
        <v/>
      </c>
      <c r="B72" s="2" t="str">
        <f>IF('Device Cables'!I75&lt;&gt;"",'Device Cables'!I75,"")</f>
        <v/>
      </c>
    </row>
    <row r="73" spans="1:2" x14ac:dyDescent="0.2">
      <c r="A73" s="2" t="str">
        <f>IF('Device Cables'!H76&lt;&gt;"",'Device Cables'!H76,"")</f>
        <v/>
      </c>
      <c r="B73" s="2" t="str">
        <f>IF('Device Cables'!I76&lt;&gt;"",'Device Cables'!I76,"")</f>
        <v/>
      </c>
    </row>
    <row r="74" spans="1:2" x14ac:dyDescent="0.2">
      <c r="A74" s="2" t="str">
        <f>IF('Device Cables'!H77&lt;&gt;"",'Device Cables'!H77,"")</f>
        <v/>
      </c>
      <c r="B74" s="2" t="str">
        <f>IF('Device Cables'!I77&lt;&gt;"",'Device Cables'!I77,"")</f>
        <v/>
      </c>
    </row>
    <row r="75" spans="1:2" x14ac:dyDescent="0.2">
      <c r="A75" s="2" t="str">
        <f>IF('Device Cables'!H78&lt;&gt;"",'Device Cables'!H78,"")</f>
        <v/>
      </c>
      <c r="B75" s="2" t="str">
        <f>IF('Device Cables'!I78&lt;&gt;"",'Device Cables'!I78,"")</f>
        <v/>
      </c>
    </row>
    <row r="76" spans="1:2" x14ac:dyDescent="0.2">
      <c r="A76" s="2" t="str">
        <f>IF('Device Cables'!H79&lt;&gt;"",'Device Cables'!H79,"")</f>
        <v/>
      </c>
      <c r="B76" s="2" t="str">
        <f>IF('Device Cables'!I79&lt;&gt;"",'Device Cables'!I79,"")</f>
        <v/>
      </c>
    </row>
    <row r="77" spans="1:2" x14ac:dyDescent="0.2">
      <c r="A77" s="2" t="str">
        <f>IF('Device Cables'!H80&lt;&gt;"",'Device Cables'!H80,"")</f>
        <v/>
      </c>
      <c r="B77" s="2" t="str">
        <f>IF('Device Cables'!I80&lt;&gt;"",'Device Cables'!I80,"")</f>
        <v/>
      </c>
    </row>
    <row r="78" spans="1:2" x14ac:dyDescent="0.2">
      <c r="A78" s="2" t="str">
        <f>IF('Device Cables'!H81&lt;&gt;"",'Device Cables'!H81,"")</f>
        <v/>
      </c>
      <c r="B78" s="2" t="str">
        <f>IF('Device Cables'!I81&lt;&gt;"",'Device Cables'!I81,"")</f>
        <v/>
      </c>
    </row>
    <row r="79" spans="1:2" x14ac:dyDescent="0.2">
      <c r="A79" s="2" t="str">
        <f>IF('Device Cables'!H82&lt;&gt;"",'Device Cables'!H82,"")</f>
        <v/>
      </c>
      <c r="B79" s="2" t="str">
        <f>IF('Device Cables'!I82&lt;&gt;"",'Device Cables'!I82,"")</f>
        <v/>
      </c>
    </row>
    <row r="80" spans="1:2" x14ac:dyDescent="0.2">
      <c r="A80" s="2" t="str">
        <f>IF('Device Cables'!H83&lt;&gt;"",'Device Cables'!H83,"")</f>
        <v/>
      </c>
      <c r="B80" s="2" t="str">
        <f>IF('Device Cables'!I83&lt;&gt;"",'Device Cables'!I83,"")</f>
        <v/>
      </c>
    </row>
    <row r="81" spans="1:2" x14ac:dyDescent="0.2">
      <c r="A81" s="2" t="str">
        <f>IF('Device Cables'!H84&lt;&gt;"",'Device Cables'!H84,"")</f>
        <v/>
      </c>
      <c r="B81" s="2" t="str">
        <f>IF('Device Cables'!I84&lt;&gt;"",'Device Cables'!I84,"")</f>
        <v/>
      </c>
    </row>
    <row r="82" spans="1:2" x14ac:dyDescent="0.2">
      <c r="A82" s="2" t="str">
        <f>IF('Device Cables'!H85&lt;&gt;"",'Device Cables'!H85,"")</f>
        <v/>
      </c>
      <c r="B82" s="2" t="str">
        <f>IF('Device Cables'!I85&lt;&gt;"",'Device Cables'!I85,"")</f>
        <v/>
      </c>
    </row>
    <row r="83" spans="1:2" x14ac:dyDescent="0.2">
      <c r="A83" s="2" t="str">
        <f>IF('Device Cables'!H86&lt;&gt;"",'Device Cables'!H86,"")</f>
        <v/>
      </c>
      <c r="B83" s="2" t="str">
        <f>IF('Device Cables'!I86&lt;&gt;"",'Device Cables'!I86,"")</f>
        <v/>
      </c>
    </row>
    <row r="84" spans="1:2" x14ac:dyDescent="0.2">
      <c r="A84" s="2" t="str">
        <f>IF('Device Cables'!H87&lt;&gt;"",'Device Cables'!H87,"")</f>
        <v/>
      </c>
      <c r="B84" s="2" t="str">
        <f>IF('Device Cables'!I87&lt;&gt;"",'Device Cables'!I87,"")</f>
        <v/>
      </c>
    </row>
    <row r="85" spans="1:2" x14ac:dyDescent="0.2">
      <c r="A85" s="2" t="str">
        <f>IF('Device Cables'!H88&lt;&gt;"",'Device Cables'!H88,"")</f>
        <v/>
      </c>
      <c r="B85" s="2" t="str">
        <f>IF('Device Cables'!I88&lt;&gt;"",'Device Cables'!I88,"")</f>
        <v/>
      </c>
    </row>
    <row r="86" spans="1:2" x14ac:dyDescent="0.2">
      <c r="A86" s="2" t="str">
        <f>IF('Device Cables'!H89&lt;&gt;"",'Device Cables'!H89,"")</f>
        <v/>
      </c>
      <c r="B86" s="2" t="str">
        <f>IF('Device Cables'!I89&lt;&gt;"",'Device Cables'!I89,"")</f>
        <v/>
      </c>
    </row>
    <row r="87" spans="1:2" x14ac:dyDescent="0.2">
      <c r="A87" s="2" t="str">
        <f>IF('Device Cables'!H90&lt;&gt;"",'Device Cables'!H90,"")</f>
        <v/>
      </c>
      <c r="B87" s="2" t="str">
        <f>IF('Device Cables'!I90&lt;&gt;"",'Device Cables'!I90,"")</f>
        <v/>
      </c>
    </row>
    <row r="88" spans="1:2" x14ac:dyDescent="0.2">
      <c r="A88" s="2" t="str">
        <f>IF('Device Cables'!H91&lt;&gt;"",'Device Cables'!H91,"")</f>
        <v/>
      </c>
      <c r="B88" s="2" t="str">
        <f>IF('Device Cables'!I91&lt;&gt;"",'Device Cables'!I91,"")</f>
        <v/>
      </c>
    </row>
    <row r="89" spans="1:2" x14ac:dyDescent="0.2">
      <c r="A89" s="2" t="str">
        <f>IF('Device Cables'!H92&lt;&gt;"",'Device Cables'!H92,"")</f>
        <v/>
      </c>
      <c r="B89" s="2" t="str">
        <f>IF('Device Cables'!I92&lt;&gt;"",'Device Cables'!I92,"")</f>
        <v/>
      </c>
    </row>
    <row r="90" spans="1:2" x14ac:dyDescent="0.2">
      <c r="A90" s="2" t="str">
        <f>IF('Device Cables'!H93&lt;&gt;"",'Device Cables'!H93,"")</f>
        <v/>
      </c>
      <c r="B90" s="2" t="str">
        <f>IF('Device Cables'!I93&lt;&gt;"",'Device Cables'!I93,"")</f>
        <v/>
      </c>
    </row>
    <row r="91" spans="1:2" x14ac:dyDescent="0.2">
      <c r="A91" s="2" t="str">
        <f>IF('Device Cables'!H94&lt;&gt;"",'Device Cables'!H94,"")</f>
        <v/>
      </c>
      <c r="B91" s="2" t="str">
        <f>IF('Device Cables'!I94&lt;&gt;"",'Device Cables'!I94,"")</f>
        <v/>
      </c>
    </row>
    <row r="92" spans="1:2" x14ac:dyDescent="0.2">
      <c r="A92" s="2" t="str">
        <f>IF('Device Cables'!H95&lt;&gt;"",'Device Cables'!H95,"")</f>
        <v/>
      </c>
      <c r="B92" s="2" t="str">
        <f>IF('Device Cables'!I95&lt;&gt;"",'Device Cables'!I95,"")</f>
        <v/>
      </c>
    </row>
    <row r="93" spans="1:2" x14ac:dyDescent="0.2">
      <c r="A93" s="2" t="str">
        <f>IF('Device Cables'!H96&lt;&gt;"",'Device Cables'!H96,"")</f>
        <v/>
      </c>
      <c r="B93" s="2" t="str">
        <f>IF('Device Cables'!I96&lt;&gt;"",'Device Cables'!I96,"")</f>
        <v/>
      </c>
    </row>
    <row r="94" spans="1:2" x14ac:dyDescent="0.2">
      <c r="A94" s="2" t="str">
        <f>IF('Device Cables'!H97&lt;&gt;"",'Device Cables'!H97,"")</f>
        <v/>
      </c>
      <c r="B94" s="2" t="str">
        <f>IF('Device Cables'!I97&lt;&gt;"",'Device Cables'!I97,"")</f>
        <v/>
      </c>
    </row>
    <row r="95" spans="1:2" x14ac:dyDescent="0.2">
      <c r="A95" s="2" t="str">
        <f>IF('Device Cables'!H98&lt;&gt;"",'Device Cables'!H98,"")</f>
        <v/>
      </c>
      <c r="B95" s="2" t="str">
        <f>IF('Device Cables'!I98&lt;&gt;"",'Device Cables'!I98,"")</f>
        <v/>
      </c>
    </row>
    <row r="96" spans="1:2" x14ac:dyDescent="0.2">
      <c r="A96" s="2" t="str">
        <f>IF('Device Cables'!H99&lt;&gt;"",'Device Cables'!H99,"")</f>
        <v/>
      </c>
      <c r="B96" s="2" t="str">
        <f>IF('Device Cables'!I99&lt;&gt;"",'Device Cables'!I99,"")</f>
        <v/>
      </c>
    </row>
    <row r="97" spans="1:2" x14ac:dyDescent="0.2">
      <c r="A97" s="2" t="str">
        <f>IF('Device Cables'!H100&lt;&gt;"",'Device Cables'!H100,"")</f>
        <v/>
      </c>
      <c r="B97" s="2" t="str">
        <f>IF('Device Cables'!I100&lt;&gt;"",'Device Cables'!I100,"")</f>
        <v/>
      </c>
    </row>
    <row r="98" spans="1:2" x14ac:dyDescent="0.2">
      <c r="A98" s="2" t="str">
        <f>IF('Device Cables'!H101&lt;&gt;"",'Device Cables'!H101,"")</f>
        <v/>
      </c>
      <c r="B98" s="2" t="str">
        <f>IF('Device Cables'!I101&lt;&gt;"",'Device Cables'!I101,"")</f>
        <v/>
      </c>
    </row>
    <row r="99" spans="1:2" x14ac:dyDescent="0.2">
      <c r="A99" s="2" t="str">
        <f>IF('Device Cables'!H102&lt;&gt;"",'Device Cables'!H102,"")</f>
        <v/>
      </c>
      <c r="B99" s="2" t="str">
        <f>IF('Device Cables'!I102&lt;&gt;"",'Device Cables'!I102,"")</f>
        <v/>
      </c>
    </row>
    <row r="100" spans="1:2" x14ac:dyDescent="0.2">
      <c r="A100" s="2" t="str">
        <f>IF('Device Cables'!H103&lt;&gt;"",'Device Cables'!H103,"")</f>
        <v/>
      </c>
      <c r="B100" s="2" t="str">
        <f>IF('Device Cables'!I103&lt;&gt;"",'Device Cables'!I103,"")</f>
        <v/>
      </c>
    </row>
    <row r="101" spans="1:2" x14ac:dyDescent="0.2">
      <c r="A101" s="2" t="str">
        <f>IF('Device Cables'!H104&lt;&gt;"",'Device Cables'!H104,"")</f>
        <v/>
      </c>
      <c r="B101" s="2" t="str">
        <f>IF('Device Cables'!I104&lt;&gt;"",'Device Cables'!I104,"")</f>
        <v/>
      </c>
    </row>
    <row r="102" spans="1:2" x14ac:dyDescent="0.2">
      <c r="A102" s="2" t="str">
        <f>IF('Device Cables'!H105&lt;&gt;"",'Device Cables'!H105,"")</f>
        <v/>
      </c>
      <c r="B102" s="2" t="str">
        <f>IF('Device Cables'!I105&lt;&gt;"",'Device Cables'!I105,"")</f>
        <v/>
      </c>
    </row>
    <row r="103" spans="1:2" x14ac:dyDescent="0.2">
      <c r="A103" s="2" t="str">
        <f>IF('Device Cables'!H106&lt;&gt;"",'Device Cables'!H106,"")</f>
        <v/>
      </c>
      <c r="B103" s="2" t="str">
        <f>IF('Device Cables'!I106&lt;&gt;"",'Device Cables'!I106,"")</f>
        <v/>
      </c>
    </row>
    <row r="104" spans="1:2" x14ac:dyDescent="0.2">
      <c r="A104" s="2" t="str">
        <f>IF('Device Cables'!H107&lt;&gt;"",'Device Cables'!H107,"")</f>
        <v/>
      </c>
      <c r="B104" s="2" t="str">
        <f>IF('Device Cables'!I107&lt;&gt;"",'Device Cables'!I107,"")</f>
        <v/>
      </c>
    </row>
    <row r="105" spans="1:2" x14ac:dyDescent="0.2">
      <c r="A105" s="2" t="str">
        <f>IF('Device Cables'!H108&lt;&gt;"",'Device Cables'!H108,"")</f>
        <v/>
      </c>
      <c r="B105" s="2" t="str">
        <f>IF('Device Cables'!I108&lt;&gt;"",'Device Cables'!I108,"")</f>
        <v/>
      </c>
    </row>
    <row r="106" spans="1:2" x14ac:dyDescent="0.2">
      <c r="A106" s="2" t="str">
        <f>IF('Device Cables'!H109&lt;&gt;"",'Device Cables'!H109,"")</f>
        <v/>
      </c>
      <c r="B106" s="2" t="str">
        <f>IF('Device Cables'!I109&lt;&gt;"",'Device Cables'!I109,"")</f>
        <v/>
      </c>
    </row>
    <row r="107" spans="1:2" x14ac:dyDescent="0.2">
      <c r="A107" s="2" t="str">
        <f>IF('Device Cables'!H110&lt;&gt;"",'Device Cables'!H110,"")</f>
        <v/>
      </c>
      <c r="B107" s="2" t="str">
        <f>IF('Device Cables'!I110&lt;&gt;"",'Device Cables'!I110,"")</f>
        <v/>
      </c>
    </row>
    <row r="108" spans="1:2" x14ac:dyDescent="0.2">
      <c r="A108" s="2" t="str">
        <f>IF('Device Cables'!H111&lt;&gt;"",'Device Cables'!H111,"")</f>
        <v/>
      </c>
      <c r="B108" s="2" t="str">
        <f>IF('Device Cables'!I111&lt;&gt;"",'Device Cables'!I111,"")</f>
        <v/>
      </c>
    </row>
    <row r="109" spans="1:2" x14ac:dyDescent="0.2">
      <c r="A109" s="2" t="str">
        <f>IF('Device Cables'!H112&lt;&gt;"",'Device Cables'!H112,"")</f>
        <v/>
      </c>
      <c r="B109" s="2" t="str">
        <f>IF('Device Cables'!I112&lt;&gt;"",'Device Cables'!I112,"")</f>
        <v/>
      </c>
    </row>
    <row r="110" spans="1:2" x14ac:dyDescent="0.2">
      <c r="A110" s="2" t="str">
        <f>IF('Device Cables'!H113&lt;&gt;"",'Device Cables'!H113,"")</f>
        <v/>
      </c>
      <c r="B110" s="2" t="str">
        <f>IF('Device Cables'!I113&lt;&gt;"",'Device Cables'!I113,"")</f>
        <v/>
      </c>
    </row>
    <row r="111" spans="1:2" x14ac:dyDescent="0.2">
      <c r="A111" s="2" t="str">
        <f>IF('Device Cables'!H114&lt;&gt;"",'Device Cables'!H114,"")</f>
        <v/>
      </c>
      <c r="B111" s="2" t="str">
        <f>IF('Device Cables'!I114&lt;&gt;"",'Device Cables'!I114,"")</f>
        <v/>
      </c>
    </row>
    <row r="112" spans="1:2" x14ac:dyDescent="0.2">
      <c r="A112" s="2" t="str">
        <f>IF('Device Cables'!H115&lt;&gt;"",'Device Cables'!H115,"")</f>
        <v/>
      </c>
      <c r="B112" s="2" t="str">
        <f>IF('Device Cables'!I115&lt;&gt;"",'Device Cables'!I115,"")</f>
        <v/>
      </c>
    </row>
    <row r="113" spans="1:2" x14ac:dyDescent="0.2">
      <c r="A113" s="2" t="str">
        <f>IF('Device Cables'!H116&lt;&gt;"",'Device Cables'!H116,"")</f>
        <v/>
      </c>
      <c r="B113" s="2" t="str">
        <f>IF('Device Cables'!I116&lt;&gt;"",'Device Cables'!I116,"")</f>
        <v/>
      </c>
    </row>
    <row r="114" spans="1:2" x14ac:dyDescent="0.2">
      <c r="A114" s="2" t="str">
        <f>IF('Device Cables'!H117&lt;&gt;"",'Device Cables'!H117,"")</f>
        <v/>
      </c>
      <c r="B114" s="2" t="str">
        <f>IF('Device Cables'!I117&lt;&gt;"",'Device Cables'!I117,"")</f>
        <v/>
      </c>
    </row>
    <row r="115" spans="1:2" x14ac:dyDescent="0.2">
      <c r="A115" s="2" t="str">
        <f>IF('Device Cables'!H118&lt;&gt;"",'Device Cables'!H118,"")</f>
        <v/>
      </c>
      <c r="B115" s="2" t="str">
        <f>IF('Device Cables'!I118&lt;&gt;"",'Device Cables'!I118,"")</f>
        <v/>
      </c>
    </row>
    <row r="116" spans="1:2" x14ac:dyDescent="0.2">
      <c r="A116" s="2" t="str">
        <f>IF('Device Cables'!H119&lt;&gt;"",'Device Cables'!H119,"")</f>
        <v/>
      </c>
      <c r="B116" s="2" t="str">
        <f>IF('Device Cables'!I119&lt;&gt;"",'Device Cables'!I119,"")</f>
        <v/>
      </c>
    </row>
    <row r="117" spans="1:2" x14ac:dyDescent="0.2">
      <c r="A117" s="2" t="str">
        <f>IF('Device Cables'!H120&lt;&gt;"",'Device Cables'!H120,"")</f>
        <v/>
      </c>
      <c r="B117" s="2" t="str">
        <f>IF('Device Cables'!I120&lt;&gt;"",'Device Cables'!I120,"")</f>
        <v/>
      </c>
    </row>
    <row r="118" spans="1:2" x14ac:dyDescent="0.2">
      <c r="A118" s="2" t="str">
        <f>IF('Device Cables'!H121&lt;&gt;"",'Device Cables'!H121,"")</f>
        <v/>
      </c>
      <c r="B118" s="2" t="str">
        <f>IF('Device Cables'!I121&lt;&gt;"",'Device Cables'!I121,"")</f>
        <v/>
      </c>
    </row>
    <row r="119" spans="1:2" x14ac:dyDescent="0.2">
      <c r="A119" s="2" t="str">
        <f>IF('Device Cables'!H122&lt;&gt;"",'Device Cables'!H122,"")</f>
        <v/>
      </c>
      <c r="B119" s="2" t="str">
        <f>IF('Device Cables'!I122&lt;&gt;"",'Device Cables'!I122,"")</f>
        <v/>
      </c>
    </row>
    <row r="120" spans="1:2" x14ac:dyDescent="0.2">
      <c r="A120" s="2" t="str">
        <f>IF('Device Cables'!H123&lt;&gt;"",'Device Cables'!H123,"")</f>
        <v/>
      </c>
      <c r="B120" s="2" t="str">
        <f>IF('Device Cables'!I123&lt;&gt;"",'Device Cables'!I123,"")</f>
        <v/>
      </c>
    </row>
    <row r="121" spans="1:2" x14ac:dyDescent="0.2">
      <c r="A121" s="2" t="str">
        <f>IF('Device Cables'!H124&lt;&gt;"",'Device Cables'!H124,"")</f>
        <v/>
      </c>
      <c r="B121" s="2" t="str">
        <f>IF('Device Cables'!I124&lt;&gt;"",'Device Cables'!I124,"")</f>
        <v/>
      </c>
    </row>
    <row r="122" spans="1:2" x14ac:dyDescent="0.2">
      <c r="A122" s="2" t="str">
        <f>IF('Device Cables'!H125&lt;&gt;"",'Device Cables'!H125,"")</f>
        <v/>
      </c>
      <c r="B122" s="2" t="str">
        <f>IF('Device Cables'!I125&lt;&gt;"",'Device Cables'!I125,"")</f>
        <v/>
      </c>
    </row>
    <row r="123" spans="1:2" x14ac:dyDescent="0.2">
      <c r="A123" s="2" t="str">
        <f>IF('Device Cables'!H126&lt;&gt;"",'Device Cables'!H126,"")</f>
        <v/>
      </c>
      <c r="B123" s="2" t="str">
        <f>IF('Device Cables'!I126&lt;&gt;"",'Device Cables'!I126,"")</f>
        <v/>
      </c>
    </row>
    <row r="124" spans="1:2" x14ac:dyDescent="0.2">
      <c r="A124" s="2" t="str">
        <f>IF('Device Cables'!H127&lt;&gt;"",'Device Cables'!H127,"")</f>
        <v/>
      </c>
      <c r="B124" s="2" t="str">
        <f>IF('Device Cables'!I127&lt;&gt;"",'Device Cables'!I127,"")</f>
        <v/>
      </c>
    </row>
    <row r="125" spans="1:2" x14ac:dyDescent="0.2">
      <c r="A125" s="2" t="str">
        <f>IF('Device Cables'!H128&lt;&gt;"",'Device Cables'!H128,"")</f>
        <v/>
      </c>
      <c r="B125" s="2" t="str">
        <f>IF('Device Cables'!I128&lt;&gt;"",'Device Cables'!I128,"")</f>
        <v/>
      </c>
    </row>
    <row r="126" spans="1:2" x14ac:dyDescent="0.2">
      <c r="A126" s="2" t="str">
        <f>IF('Device Cables'!H129&lt;&gt;"",'Device Cables'!H129,"")</f>
        <v/>
      </c>
      <c r="B126" s="2" t="str">
        <f>IF('Device Cables'!I129&lt;&gt;"",'Device Cables'!I129,"")</f>
        <v/>
      </c>
    </row>
    <row r="127" spans="1:2" x14ac:dyDescent="0.2">
      <c r="A127" s="2" t="str">
        <f>IF('Device Cables'!H130&lt;&gt;"",'Device Cables'!H130,"")</f>
        <v/>
      </c>
      <c r="B127" s="2" t="str">
        <f>IF('Device Cables'!I130&lt;&gt;"",'Device Cables'!I130,"")</f>
        <v/>
      </c>
    </row>
    <row r="128" spans="1:2" x14ac:dyDescent="0.2">
      <c r="A128" s="2" t="str">
        <f>IF('Device Cables'!H131&lt;&gt;"",'Device Cables'!H131,"")</f>
        <v/>
      </c>
      <c r="B128" s="2" t="str">
        <f>IF('Device Cables'!I131&lt;&gt;"",'Device Cables'!I131,"")</f>
        <v/>
      </c>
    </row>
    <row r="129" spans="1:2" x14ac:dyDescent="0.2">
      <c r="A129" s="2" t="str">
        <f>IF('Device Cables'!H132&lt;&gt;"",'Device Cables'!H132,"")</f>
        <v/>
      </c>
      <c r="B129" s="2" t="str">
        <f>IF('Device Cables'!I132&lt;&gt;"",'Device Cables'!I132,"")</f>
        <v/>
      </c>
    </row>
    <row r="130" spans="1:2" x14ac:dyDescent="0.2">
      <c r="A130" s="2" t="str">
        <f>IF('Device Cables'!H133&lt;&gt;"",'Device Cables'!H133,"")</f>
        <v/>
      </c>
      <c r="B130" s="2" t="str">
        <f>IF('Device Cables'!I133&lt;&gt;"",'Device Cables'!I133,"")</f>
        <v/>
      </c>
    </row>
    <row r="131" spans="1:2" x14ac:dyDescent="0.2">
      <c r="A131" s="2" t="str">
        <f>IF('Device Cables'!H134&lt;&gt;"",'Device Cables'!H134,"")</f>
        <v/>
      </c>
      <c r="B131" s="2" t="str">
        <f>IF('Device Cables'!I134&lt;&gt;"",'Device Cables'!I134,"")</f>
        <v/>
      </c>
    </row>
    <row r="132" spans="1:2" x14ac:dyDescent="0.2">
      <c r="A132" s="2" t="str">
        <f>IF('Device Cables'!H135&lt;&gt;"",'Device Cables'!H135,"")</f>
        <v/>
      </c>
      <c r="B132" s="2" t="str">
        <f>IF('Device Cables'!I135&lt;&gt;"",'Device Cables'!I135,"")</f>
        <v/>
      </c>
    </row>
    <row r="133" spans="1:2" x14ac:dyDescent="0.2">
      <c r="A133" s="2" t="str">
        <f>IF('Device Cables'!H136&lt;&gt;"",'Device Cables'!H136,"")</f>
        <v/>
      </c>
      <c r="B133" s="2" t="str">
        <f>IF('Device Cables'!I136&lt;&gt;"",'Device Cables'!I136,"")</f>
        <v/>
      </c>
    </row>
    <row r="134" spans="1:2" x14ac:dyDescent="0.2">
      <c r="A134" s="2" t="str">
        <f>IF('Device Cables'!H137&lt;&gt;"",'Device Cables'!H137,"")</f>
        <v/>
      </c>
      <c r="B134" s="2" t="str">
        <f>IF('Device Cables'!I137&lt;&gt;"",'Device Cables'!I137,"")</f>
        <v/>
      </c>
    </row>
    <row r="135" spans="1:2" x14ac:dyDescent="0.2">
      <c r="A135" s="2" t="str">
        <f>IF('Device Cables'!H138&lt;&gt;"",'Device Cables'!H138,"")</f>
        <v/>
      </c>
      <c r="B135" s="2" t="str">
        <f>IF('Device Cables'!I138&lt;&gt;"",'Device Cables'!I138,"")</f>
        <v/>
      </c>
    </row>
    <row r="136" spans="1:2" x14ac:dyDescent="0.2">
      <c r="A136" s="2" t="str">
        <f>IF('Device Cables'!H139&lt;&gt;"",'Device Cables'!H139,"")</f>
        <v/>
      </c>
      <c r="B136" s="2" t="str">
        <f>IF('Device Cables'!I139&lt;&gt;"",'Device Cables'!I139,"")</f>
        <v/>
      </c>
    </row>
    <row r="137" spans="1:2" x14ac:dyDescent="0.2">
      <c r="A137" s="2" t="str">
        <f>IF('Device Cables'!H140&lt;&gt;"",'Device Cables'!H140,"")</f>
        <v/>
      </c>
      <c r="B137" s="2" t="str">
        <f>IF('Device Cables'!I140&lt;&gt;"",'Device Cables'!I140,"")</f>
        <v/>
      </c>
    </row>
    <row r="138" spans="1:2" x14ac:dyDescent="0.2">
      <c r="A138" s="2" t="str">
        <f>IF('Device Cables'!H141&lt;&gt;"",'Device Cables'!H141,"")</f>
        <v/>
      </c>
      <c r="B138" s="2" t="str">
        <f>IF('Device Cables'!I141&lt;&gt;"",'Device Cables'!I141,"")</f>
        <v/>
      </c>
    </row>
    <row r="139" spans="1:2" x14ac:dyDescent="0.2">
      <c r="A139" s="2" t="str">
        <f>IF('Device Cables'!H142&lt;&gt;"",'Device Cables'!H142,"")</f>
        <v/>
      </c>
      <c r="B139" s="2" t="str">
        <f>IF('Device Cables'!I142&lt;&gt;"",'Device Cables'!I142,"")</f>
        <v/>
      </c>
    </row>
    <row r="140" spans="1:2" x14ac:dyDescent="0.2">
      <c r="A140" s="2" t="str">
        <f>IF('Device Cables'!H143&lt;&gt;"",'Device Cables'!H143,"")</f>
        <v/>
      </c>
      <c r="B140" s="2" t="str">
        <f>IF('Device Cables'!I143&lt;&gt;"",'Device Cables'!I143,"")</f>
        <v/>
      </c>
    </row>
    <row r="141" spans="1:2" x14ac:dyDescent="0.2">
      <c r="A141" s="2" t="str">
        <f>IF('Device Cables'!H144&lt;&gt;"",'Device Cables'!H144,"")</f>
        <v/>
      </c>
      <c r="B141" s="2" t="str">
        <f>IF('Device Cables'!I144&lt;&gt;"",'Device Cables'!I144,"")</f>
        <v/>
      </c>
    </row>
    <row r="142" spans="1:2" x14ac:dyDescent="0.2">
      <c r="A142" s="2" t="str">
        <f>IF('Device Cables'!H145&lt;&gt;"",'Device Cables'!H145,"")</f>
        <v/>
      </c>
      <c r="B142" s="2" t="str">
        <f>IF('Device Cables'!I145&lt;&gt;"",'Device Cables'!I145,"")</f>
        <v/>
      </c>
    </row>
    <row r="143" spans="1:2" x14ac:dyDescent="0.2">
      <c r="A143" s="2" t="str">
        <f>IF('Device Cables'!H146&lt;&gt;"",'Device Cables'!H146,"")</f>
        <v/>
      </c>
      <c r="B143" s="2" t="str">
        <f>IF('Device Cables'!I146&lt;&gt;"",'Device Cables'!I146,"")</f>
        <v/>
      </c>
    </row>
    <row r="144" spans="1:2" x14ac:dyDescent="0.2">
      <c r="A144" s="2" t="str">
        <f>IF('Device Cables'!H147&lt;&gt;"",'Device Cables'!H147,"")</f>
        <v/>
      </c>
      <c r="B144" s="2" t="str">
        <f>IF('Device Cables'!I147&lt;&gt;"",'Device Cables'!I147,"")</f>
        <v/>
      </c>
    </row>
    <row r="145" spans="1:2" x14ac:dyDescent="0.2">
      <c r="A145" s="2" t="str">
        <f>IF('Device Cables'!H148&lt;&gt;"",'Device Cables'!H148,"")</f>
        <v/>
      </c>
      <c r="B145" s="2" t="str">
        <f>IF('Device Cables'!I148&lt;&gt;"",'Device Cables'!I148,"")</f>
        <v/>
      </c>
    </row>
    <row r="146" spans="1:2" x14ac:dyDescent="0.2">
      <c r="A146" s="2" t="str">
        <f>IF('Device Cables'!H149&lt;&gt;"",'Device Cables'!H149,"")</f>
        <v/>
      </c>
      <c r="B146" s="2" t="str">
        <f>IF('Device Cables'!I149&lt;&gt;"",'Device Cables'!I149,"")</f>
        <v/>
      </c>
    </row>
    <row r="147" spans="1:2" x14ac:dyDescent="0.2">
      <c r="A147" s="2" t="str">
        <f>IF('Device Cables'!H150&lt;&gt;"",'Device Cables'!H150,"")</f>
        <v/>
      </c>
      <c r="B147" s="2" t="str">
        <f>IF('Device Cables'!I150&lt;&gt;"",'Device Cables'!I150,"")</f>
        <v/>
      </c>
    </row>
    <row r="148" spans="1:2" x14ac:dyDescent="0.2">
      <c r="A148" s="2" t="str">
        <f>IF('Device Cables'!H151&lt;&gt;"",'Device Cables'!H151,"")</f>
        <v/>
      </c>
      <c r="B148" s="2" t="str">
        <f>IF('Device Cables'!I151&lt;&gt;"",'Device Cables'!I151,"")</f>
        <v/>
      </c>
    </row>
    <row r="149" spans="1:2" x14ac:dyDescent="0.2">
      <c r="A149" s="2" t="str">
        <f>IF('Device Cables'!H152&lt;&gt;"",'Device Cables'!H152,"")</f>
        <v/>
      </c>
      <c r="B149" s="2" t="str">
        <f>IF('Device Cables'!I152&lt;&gt;"",'Device Cables'!I152,"")</f>
        <v/>
      </c>
    </row>
    <row r="150" spans="1:2" x14ac:dyDescent="0.2">
      <c r="A150" s="2" t="str">
        <f>IF('Device Cables'!H153&lt;&gt;"",'Device Cables'!H153,"")</f>
        <v/>
      </c>
      <c r="B150" s="2" t="str">
        <f>IF('Device Cables'!I153&lt;&gt;"",'Device Cables'!I153,"")</f>
        <v/>
      </c>
    </row>
    <row r="151" spans="1:2" x14ac:dyDescent="0.2">
      <c r="A151" s="2" t="str">
        <f>IF('Device Cables'!H154&lt;&gt;"",'Device Cables'!H154,"")</f>
        <v/>
      </c>
      <c r="B151" s="2" t="str">
        <f>IF('Device Cables'!I154&lt;&gt;"",'Device Cables'!I154,"")</f>
        <v/>
      </c>
    </row>
    <row r="152" spans="1:2" x14ac:dyDescent="0.2">
      <c r="A152" s="2" t="str">
        <f>IF('Device Cables'!H155&lt;&gt;"",'Device Cables'!H155,"")</f>
        <v/>
      </c>
      <c r="B152" s="2" t="str">
        <f>IF('Device Cables'!I155&lt;&gt;"",'Device Cables'!I155,"")</f>
        <v/>
      </c>
    </row>
    <row r="153" spans="1:2" x14ac:dyDescent="0.2">
      <c r="A153" s="2" t="str">
        <f>IF('Device Cables'!H156&lt;&gt;"",'Device Cables'!H156,"")</f>
        <v/>
      </c>
      <c r="B153" s="2" t="str">
        <f>IF('Device Cables'!I156&lt;&gt;"",'Device Cables'!I156,"")</f>
        <v/>
      </c>
    </row>
    <row r="154" spans="1:2" x14ac:dyDescent="0.2">
      <c r="A154" s="2" t="str">
        <f>IF('Device Cables'!H157&lt;&gt;"",'Device Cables'!H157,"")</f>
        <v/>
      </c>
      <c r="B154" s="2" t="str">
        <f>IF('Device Cables'!I157&lt;&gt;"",'Device Cables'!I157,"")</f>
        <v/>
      </c>
    </row>
    <row r="155" spans="1:2" x14ac:dyDescent="0.2">
      <c r="A155" s="2" t="str">
        <f>IF('Device Cables'!H158&lt;&gt;"",'Device Cables'!H158,"")</f>
        <v/>
      </c>
      <c r="B155" s="2" t="str">
        <f>IF('Device Cables'!I158&lt;&gt;"",'Device Cables'!I158,"")</f>
        <v/>
      </c>
    </row>
    <row r="156" spans="1:2" x14ac:dyDescent="0.2">
      <c r="A156" s="2" t="str">
        <f>IF('Device Cables'!H159&lt;&gt;"",'Device Cables'!H159,"")</f>
        <v/>
      </c>
      <c r="B156" s="2" t="str">
        <f>IF('Device Cables'!I159&lt;&gt;"",'Device Cables'!I159,"")</f>
        <v/>
      </c>
    </row>
    <row r="157" spans="1:2" x14ac:dyDescent="0.2">
      <c r="A157" s="2" t="str">
        <f>IF('Device Cables'!H160&lt;&gt;"",'Device Cables'!H160,"")</f>
        <v/>
      </c>
      <c r="B157" s="2" t="str">
        <f>IF('Device Cables'!I160&lt;&gt;"",'Device Cables'!I160,"")</f>
        <v/>
      </c>
    </row>
    <row r="158" spans="1:2" x14ac:dyDescent="0.2">
      <c r="A158" s="2" t="str">
        <f>IF('Device Cables'!H161&lt;&gt;"",'Device Cables'!H161,"")</f>
        <v/>
      </c>
      <c r="B158" s="2" t="str">
        <f>IF('Device Cables'!I161&lt;&gt;"",'Device Cables'!I161,"")</f>
        <v/>
      </c>
    </row>
    <row r="159" spans="1:2" x14ac:dyDescent="0.2">
      <c r="A159" s="2" t="str">
        <f>IF('Device Cables'!H162&lt;&gt;"",'Device Cables'!H162,"")</f>
        <v/>
      </c>
      <c r="B159" s="2" t="str">
        <f>IF('Device Cables'!I162&lt;&gt;"",'Device Cables'!I162,"")</f>
        <v/>
      </c>
    </row>
    <row r="160" spans="1:2" x14ac:dyDescent="0.2">
      <c r="A160" s="2" t="str">
        <f>IF('Device Cables'!H163&lt;&gt;"",'Device Cables'!H163,"")</f>
        <v/>
      </c>
      <c r="B160" s="2" t="str">
        <f>IF('Device Cables'!I163&lt;&gt;"",'Device Cables'!I163,"")</f>
        <v/>
      </c>
    </row>
    <row r="161" spans="1:2" x14ac:dyDescent="0.2">
      <c r="A161" s="2" t="str">
        <f>IF('Device Cables'!H164&lt;&gt;"",'Device Cables'!H164,"")</f>
        <v/>
      </c>
      <c r="B161" s="2" t="str">
        <f>IF('Device Cables'!I164&lt;&gt;"",'Device Cables'!I164,"")</f>
        <v/>
      </c>
    </row>
    <row r="162" spans="1:2" x14ac:dyDescent="0.2">
      <c r="A162" s="2" t="str">
        <f>IF('Device Cables'!H165&lt;&gt;"",'Device Cables'!H165,"")</f>
        <v/>
      </c>
      <c r="B162" s="2" t="str">
        <f>IF('Device Cables'!I165&lt;&gt;"",'Device Cables'!I165,"")</f>
        <v/>
      </c>
    </row>
    <row r="163" spans="1:2" x14ac:dyDescent="0.2">
      <c r="A163" s="2" t="str">
        <f>IF('Device Cables'!H166&lt;&gt;"",'Device Cables'!H166,"")</f>
        <v/>
      </c>
      <c r="B163" s="2" t="str">
        <f>IF('Device Cables'!I166&lt;&gt;"",'Device Cables'!I166,"")</f>
        <v/>
      </c>
    </row>
    <row r="164" spans="1:2" x14ac:dyDescent="0.2">
      <c r="A164" s="2" t="str">
        <f>IF('Device Cables'!H167&lt;&gt;"",'Device Cables'!H167,"")</f>
        <v/>
      </c>
      <c r="B164" s="2" t="str">
        <f>IF('Device Cables'!I167&lt;&gt;"",'Device Cables'!I167,"")</f>
        <v/>
      </c>
    </row>
    <row r="165" spans="1:2" x14ac:dyDescent="0.2">
      <c r="A165" s="2" t="str">
        <f>IF('Device Cables'!H168&lt;&gt;"",'Device Cables'!H168,"")</f>
        <v/>
      </c>
      <c r="B165" s="2" t="str">
        <f>IF('Device Cables'!I168&lt;&gt;"",'Device Cables'!I168,"")</f>
        <v/>
      </c>
    </row>
    <row r="166" spans="1:2" x14ac:dyDescent="0.2">
      <c r="A166" s="2" t="str">
        <f>IF('Device Cables'!H169&lt;&gt;"",'Device Cables'!H169,"")</f>
        <v/>
      </c>
      <c r="B166" s="2" t="str">
        <f>IF('Device Cables'!I169&lt;&gt;"",'Device Cables'!I169,"")</f>
        <v/>
      </c>
    </row>
    <row r="167" spans="1:2" x14ac:dyDescent="0.2">
      <c r="A167" s="2" t="str">
        <f>IF('Device Cables'!H170&lt;&gt;"",'Device Cables'!H170,"")</f>
        <v/>
      </c>
      <c r="B167" s="2" t="str">
        <f>IF('Device Cables'!I170&lt;&gt;"",'Device Cables'!I170,"")</f>
        <v/>
      </c>
    </row>
    <row r="168" spans="1:2" x14ac:dyDescent="0.2">
      <c r="A168" s="2" t="str">
        <f>IF('Device Cables'!H171&lt;&gt;"",'Device Cables'!H171,"")</f>
        <v/>
      </c>
      <c r="B168" s="2" t="str">
        <f>IF('Device Cables'!I171&lt;&gt;"",'Device Cables'!I171,"")</f>
        <v/>
      </c>
    </row>
    <row r="169" spans="1:2" x14ac:dyDescent="0.2">
      <c r="A169" s="2" t="str">
        <f>IF('Device Cables'!H172&lt;&gt;"",'Device Cables'!H172,"")</f>
        <v/>
      </c>
      <c r="B169" s="2" t="str">
        <f>IF('Device Cables'!I172&lt;&gt;"",'Device Cables'!I172,"")</f>
        <v/>
      </c>
    </row>
    <row r="170" spans="1:2" x14ac:dyDescent="0.2">
      <c r="A170" s="2" t="str">
        <f>IF('Device Cables'!H173&lt;&gt;"",'Device Cables'!H173,"")</f>
        <v/>
      </c>
      <c r="B170" s="2" t="str">
        <f>IF('Device Cables'!I173&lt;&gt;"",'Device Cables'!I173,"")</f>
        <v/>
      </c>
    </row>
    <row r="171" spans="1:2" x14ac:dyDescent="0.2">
      <c r="A171" s="2" t="str">
        <f>IF('Device Cables'!H174&lt;&gt;"",'Device Cables'!H174,"")</f>
        <v/>
      </c>
      <c r="B171" s="2" t="str">
        <f>IF('Device Cables'!I174&lt;&gt;"",'Device Cables'!I174,"")</f>
        <v/>
      </c>
    </row>
    <row r="172" spans="1:2" x14ac:dyDescent="0.2">
      <c r="A172" s="2" t="str">
        <f>IF('Device Cables'!H175&lt;&gt;"",'Device Cables'!H175,"")</f>
        <v/>
      </c>
      <c r="B172" s="2" t="str">
        <f>IF('Device Cables'!I175&lt;&gt;"",'Device Cables'!I175,"")</f>
        <v/>
      </c>
    </row>
    <row r="173" spans="1:2" x14ac:dyDescent="0.2">
      <c r="A173" s="2" t="str">
        <f>IF('Device Cables'!H176&lt;&gt;"",'Device Cables'!H176,"")</f>
        <v/>
      </c>
      <c r="B173" s="2" t="str">
        <f>IF('Device Cables'!I176&lt;&gt;"",'Device Cables'!I176,"")</f>
        <v/>
      </c>
    </row>
    <row r="174" spans="1:2" x14ac:dyDescent="0.2">
      <c r="A174" s="2" t="str">
        <f>IF('Device Cables'!H177&lt;&gt;"",'Device Cables'!H177,"")</f>
        <v/>
      </c>
      <c r="B174" s="2" t="str">
        <f>IF('Device Cables'!I177&lt;&gt;"",'Device Cables'!I177,"")</f>
        <v/>
      </c>
    </row>
    <row r="175" spans="1:2" x14ac:dyDescent="0.2">
      <c r="A175" s="2" t="str">
        <f>IF('Device Cables'!H178&lt;&gt;"",'Device Cables'!H178,"")</f>
        <v/>
      </c>
      <c r="B175" s="2" t="str">
        <f>IF('Device Cables'!I178&lt;&gt;"",'Device Cables'!I178,"")</f>
        <v/>
      </c>
    </row>
    <row r="176" spans="1:2" x14ac:dyDescent="0.2">
      <c r="A176" s="2" t="str">
        <f>IF('Device Cables'!H179&lt;&gt;"",'Device Cables'!H179,"")</f>
        <v/>
      </c>
      <c r="B176" s="2" t="str">
        <f>IF('Device Cables'!I179&lt;&gt;"",'Device Cables'!I179,"")</f>
        <v/>
      </c>
    </row>
    <row r="177" spans="1:2" x14ac:dyDescent="0.2">
      <c r="A177" s="2" t="str">
        <f>IF('Device Cables'!H180&lt;&gt;"",'Device Cables'!H180,"")</f>
        <v/>
      </c>
      <c r="B177" s="2" t="str">
        <f>IF('Device Cables'!I180&lt;&gt;"",'Device Cables'!I180,"")</f>
        <v/>
      </c>
    </row>
    <row r="178" spans="1:2" x14ac:dyDescent="0.2">
      <c r="A178" s="2" t="str">
        <f>IF('Device Cables'!H181&lt;&gt;"",'Device Cables'!H181,"")</f>
        <v/>
      </c>
      <c r="B178" s="2" t="str">
        <f>IF('Device Cables'!I181&lt;&gt;"",'Device Cables'!I181,"")</f>
        <v/>
      </c>
    </row>
    <row r="179" spans="1:2" x14ac:dyDescent="0.2">
      <c r="A179" s="2" t="str">
        <f>IF('Device Cables'!H182&lt;&gt;"",'Device Cables'!H182,"")</f>
        <v/>
      </c>
      <c r="B179" s="2" t="str">
        <f>IF('Device Cables'!I182&lt;&gt;"",'Device Cables'!I182,"")</f>
        <v/>
      </c>
    </row>
    <row r="180" spans="1:2" x14ac:dyDescent="0.2">
      <c r="A180" s="2" t="str">
        <f>IF('Device Cables'!H183&lt;&gt;"",'Device Cables'!H183,"")</f>
        <v/>
      </c>
      <c r="B180" s="2" t="str">
        <f>IF('Device Cables'!I183&lt;&gt;"",'Device Cables'!I183,"")</f>
        <v/>
      </c>
    </row>
    <row r="181" spans="1:2" x14ac:dyDescent="0.2">
      <c r="A181" s="2" t="str">
        <f>IF('Device Cables'!H184&lt;&gt;"",'Device Cables'!H184,"")</f>
        <v/>
      </c>
      <c r="B181" s="2" t="str">
        <f>IF('Device Cables'!I184&lt;&gt;"",'Device Cables'!I184,"")</f>
        <v/>
      </c>
    </row>
    <row r="182" spans="1:2" x14ac:dyDescent="0.2">
      <c r="A182" s="2" t="str">
        <f>IF('Device Cables'!H185&lt;&gt;"",'Device Cables'!H185,"")</f>
        <v/>
      </c>
      <c r="B182" s="2" t="str">
        <f>IF('Device Cables'!I185&lt;&gt;"",'Device Cables'!I185,"")</f>
        <v/>
      </c>
    </row>
    <row r="183" spans="1:2" x14ac:dyDescent="0.2">
      <c r="A183" s="2" t="str">
        <f>IF('Device Cables'!H186&lt;&gt;"",'Device Cables'!H186,"")</f>
        <v/>
      </c>
      <c r="B183" s="2" t="str">
        <f>IF('Device Cables'!I186&lt;&gt;"",'Device Cables'!I186,"")</f>
        <v/>
      </c>
    </row>
    <row r="184" spans="1:2" x14ac:dyDescent="0.2">
      <c r="A184" s="2" t="str">
        <f>IF('Device Cables'!H187&lt;&gt;"",'Device Cables'!H187,"")</f>
        <v/>
      </c>
      <c r="B184" s="2" t="str">
        <f>IF('Device Cables'!I187&lt;&gt;"",'Device Cables'!I187,"")</f>
        <v/>
      </c>
    </row>
    <row r="185" spans="1:2" x14ac:dyDescent="0.2">
      <c r="A185" s="2" t="str">
        <f>IF('Device Cables'!H188&lt;&gt;"",'Device Cables'!H188,"")</f>
        <v/>
      </c>
      <c r="B185" s="2" t="str">
        <f>IF('Device Cables'!I188&lt;&gt;"",'Device Cables'!I188,"")</f>
        <v/>
      </c>
    </row>
    <row r="186" spans="1:2" x14ac:dyDescent="0.2">
      <c r="A186" s="2" t="str">
        <f>IF('Device Cables'!H189&lt;&gt;"",'Device Cables'!H189,"")</f>
        <v/>
      </c>
      <c r="B186" s="2" t="str">
        <f>IF('Device Cables'!I189&lt;&gt;"",'Device Cables'!I189,"")</f>
        <v/>
      </c>
    </row>
    <row r="187" spans="1:2" x14ac:dyDescent="0.2">
      <c r="A187" s="2" t="str">
        <f>IF('Device Cables'!H190&lt;&gt;"",'Device Cables'!H190,"")</f>
        <v/>
      </c>
      <c r="B187" s="2" t="str">
        <f>IF('Device Cables'!I190&lt;&gt;"",'Device Cables'!I190,"")</f>
        <v/>
      </c>
    </row>
    <row r="188" spans="1:2" x14ac:dyDescent="0.2">
      <c r="A188" s="2" t="str">
        <f>IF('Device Cables'!H191&lt;&gt;"",'Device Cables'!H191,"")</f>
        <v/>
      </c>
      <c r="B188" s="2" t="str">
        <f>IF('Device Cables'!I191&lt;&gt;"",'Device Cables'!I191,"")</f>
        <v/>
      </c>
    </row>
    <row r="189" spans="1:2" x14ac:dyDescent="0.2">
      <c r="A189" s="2" t="str">
        <f>IF('Device Cables'!H192&lt;&gt;"",'Device Cables'!H192,"")</f>
        <v/>
      </c>
      <c r="B189" s="2" t="str">
        <f>IF('Device Cables'!I192&lt;&gt;"",'Device Cables'!I192,"")</f>
        <v/>
      </c>
    </row>
    <row r="190" spans="1:2" x14ac:dyDescent="0.2">
      <c r="A190" s="2" t="str">
        <f>IF('Device Cables'!H193&lt;&gt;"",'Device Cables'!H193,"")</f>
        <v/>
      </c>
      <c r="B190" s="2" t="str">
        <f>IF('Device Cables'!I193&lt;&gt;"",'Device Cables'!I193,"")</f>
        <v/>
      </c>
    </row>
    <row r="191" spans="1:2" x14ac:dyDescent="0.2">
      <c r="A191" s="2" t="str">
        <f>IF('Device Cables'!H194&lt;&gt;"",'Device Cables'!H194,"")</f>
        <v/>
      </c>
      <c r="B191" s="2" t="str">
        <f>IF('Device Cables'!I194&lt;&gt;"",'Device Cables'!I194,"")</f>
        <v/>
      </c>
    </row>
    <row r="192" spans="1:2" x14ac:dyDescent="0.2">
      <c r="A192" s="2" t="str">
        <f>IF('Device Cables'!H195&lt;&gt;"",'Device Cables'!H195,"")</f>
        <v/>
      </c>
      <c r="B192" s="2" t="str">
        <f>IF('Device Cables'!I195&lt;&gt;"",'Device Cables'!I195,"")</f>
        <v/>
      </c>
    </row>
    <row r="193" spans="1:2" x14ac:dyDescent="0.2">
      <c r="A193" s="2" t="str">
        <f>IF('Device Cables'!H196&lt;&gt;"",'Device Cables'!H196,"")</f>
        <v/>
      </c>
      <c r="B193" s="2" t="str">
        <f>IF('Device Cables'!I196&lt;&gt;"",'Device Cables'!I196,"")</f>
        <v/>
      </c>
    </row>
    <row r="194" spans="1:2" x14ac:dyDescent="0.2">
      <c r="A194" s="2" t="str">
        <f>IF('Device Cables'!H197&lt;&gt;"",'Device Cables'!H197,"")</f>
        <v/>
      </c>
      <c r="B194" s="2" t="str">
        <f>IF('Device Cables'!I197&lt;&gt;"",'Device Cables'!I197,"")</f>
        <v/>
      </c>
    </row>
    <row r="195" spans="1:2" x14ac:dyDescent="0.2">
      <c r="A195" s="2" t="str">
        <f>IF('Device Cables'!H198&lt;&gt;"",'Device Cables'!H198,"")</f>
        <v/>
      </c>
      <c r="B195" s="2" t="str">
        <f>IF('Device Cables'!I198&lt;&gt;"",'Device Cables'!I198,"")</f>
        <v/>
      </c>
    </row>
    <row r="196" spans="1:2" x14ac:dyDescent="0.2">
      <c r="A196" s="2" t="str">
        <f>IF('Device Cables'!H199&lt;&gt;"",'Device Cables'!H199,"")</f>
        <v/>
      </c>
      <c r="B196" s="2" t="str">
        <f>IF('Device Cables'!I199&lt;&gt;"",'Device Cables'!I199,"")</f>
        <v/>
      </c>
    </row>
    <row r="197" spans="1:2" x14ac:dyDescent="0.2">
      <c r="A197" s="2" t="str">
        <f>IF('Device Cables'!H200&lt;&gt;"",'Device Cables'!H200,"")</f>
        <v/>
      </c>
      <c r="B197" s="2" t="str">
        <f>IF('Device Cables'!I200&lt;&gt;"",'Device Cables'!I200,"")</f>
        <v/>
      </c>
    </row>
    <row r="198" spans="1:2" x14ac:dyDescent="0.2">
      <c r="A198" s="2" t="str">
        <f>IF('Device Cables'!H201&lt;&gt;"",'Device Cables'!H201,"")</f>
        <v/>
      </c>
      <c r="B198" s="2" t="str">
        <f>IF('Device Cables'!I201&lt;&gt;"",'Device Cables'!I201,"")</f>
        <v/>
      </c>
    </row>
    <row r="199" spans="1:2" x14ac:dyDescent="0.2">
      <c r="A199" s="2" t="str">
        <f>IF('Device Cables'!H202&lt;&gt;"",'Device Cables'!H202,"")</f>
        <v/>
      </c>
      <c r="B199" s="2" t="str">
        <f>IF('Device Cables'!I202&lt;&gt;"",'Device Cables'!I202,"")</f>
        <v/>
      </c>
    </row>
    <row r="200" spans="1:2" x14ac:dyDescent="0.2">
      <c r="A200" s="2" t="str">
        <f>IF('Device Cables'!H203&lt;&gt;"",'Device Cables'!H203,"")</f>
        <v/>
      </c>
      <c r="B200" s="2" t="str">
        <f>IF('Device Cables'!I203&lt;&gt;"",'Device Cables'!I203,"")</f>
        <v/>
      </c>
    </row>
    <row r="201" spans="1:2" x14ac:dyDescent="0.2">
      <c r="A201" s="2" t="str">
        <f>IF('Device Cables'!H204&lt;&gt;"",'Device Cables'!H204,"")</f>
        <v/>
      </c>
      <c r="B201" s="2" t="str">
        <f>IF('Device Cables'!I204&lt;&gt;"",'Device Cables'!I204,"")</f>
        <v/>
      </c>
    </row>
    <row r="202" spans="1:2" x14ac:dyDescent="0.2">
      <c r="A202" s="2" t="str">
        <f>IF('Device Cables'!H205&lt;&gt;"",'Device Cables'!H205,"")</f>
        <v/>
      </c>
      <c r="B202" s="2" t="str">
        <f>IF('Device Cables'!I205&lt;&gt;"",'Device Cables'!I205,"")</f>
        <v/>
      </c>
    </row>
    <row r="203" spans="1:2" x14ac:dyDescent="0.2">
      <c r="A203" s="2" t="str">
        <f>IF('Device Cables'!H206&lt;&gt;"",'Device Cables'!H206,"")</f>
        <v/>
      </c>
      <c r="B203" s="2" t="str">
        <f>IF('Device Cables'!I206&lt;&gt;"",'Device Cables'!I206,"")</f>
        <v/>
      </c>
    </row>
    <row r="204" spans="1:2" x14ac:dyDescent="0.2">
      <c r="A204" s="2" t="str">
        <f>IF('Device Cables'!H207&lt;&gt;"",'Device Cables'!H207,"")</f>
        <v/>
      </c>
      <c r="B204" s="2" t="str">
        <f>IF('Device Cables'!I207&lt;&gt;"",'Device Cables'!I207,"")</f>
        <v/>
      </c>
    </row>
    <row r="205" spans="1:2" x14ac:dyDescent="0.2">
      <c r="A205" s="2" t="str">
        <f>IF('Device Cables'!H208&lt;&gt;"",'Device Cables'!H208,"")</f>
        <v/>
      </c>
      <c r="B205" s="2" t="str">
        <f>IF('Device Cables'!I208&lt;&gt;"",'Device Cables'!I208,"")</f>
        <v/>
      </c>
    </row>
    <row r="206" spans="1:2" x14ac:dyDescent="0.2">
      <c r="A206" s="2" t="str">
        <f>IF('Device Cables'!H209&lt;&gt;"",'Device Cables'!H209,"")</f>
        <v/>
      </c>
      <c r="B206" s="2" t="str">
        <f>IF('Device Cables'!I209&lt;&gt;"",'Device Cables'!I209,"")</f>
        <v/>
      </c>
    </row>
    <row r="207" spans="1:2" x14ac:dyDescent="0.2">
      <c r="A207" s="2" t="str">
        <f>IF('Device Cables'!H210&lt;&gt;"",'Device Cables'!H210,"")</f>
        <v/>
      </c>
      <c r="B207" s="2" t="str">
        <f>IF('Device Cables'!I210&lt;&gt;"",'Device Cables'!I210,"")</f>
        <v/>
      </c>
    </row>
    <row r="208" spans="1:2" x14ac:dyDescent="0.2">
      <c r="A208" s="2" t="str">
        <f>IF('Device Cables'!H211&lt;&gt;"",'Device Cables'!H211,"")</f>
        <v/>
      </c>
      <c r="B208" s="2" t="str">
        <f>IF('Device Cables'!I211&lt;&gt;"",'Device Cables'!I211,"")</f>
        <v/>
      </c>
    </row>
    <row r="209" spans="1:2" x14ac:dyDescent="0.2">
      <c r="A209" s="2" t="str">
        <f>IF('Device Cables'!H212&lt;&gt;"",'Device Cables'!H212,"")</f>
        <v/>
      </c>
      <c r="B209" s="2" t="str">
        <f>IF('Device Cables'!I212&lt;&gt;"",'Device Cables'!I212,"")</f>
        <v/>
      </c>
    </row>
    <row r="210" spans="1:2" x14ac:dyDescent="0.2">
      <c r="A210" s="2" t="str">
        <f>IF('Device Cables'!H213&lt;&gt;"",'Device Cables'!H213,"")</f>
        <v/>
      </c>
      <c r="B210" s="2" t="str">
        <f>IF('Device Cables'!I213&lt;&gt;"",'Device Cables'!I213,"")</f>
        <v/>
      </c>
    </row>
    <row r="211" spans="1:2" x14ac:dyDescent="0.2">
      <c r="A211" s="2" t="str">
        <f>IF('Device Cables'!H214&lt;&gt;"",'Device Cables'!H214,"")</f>
        <v/>
      </c>
      <c r="B211" s="2" t="str">
        <f>IF('Device Cables'!I214&lt;&gt;"",'Device Cables'!I214,"")</f>
        <v/>
      </c>
    </row>
    <row r="212" spans="1:2" x14ac:dyDescent="0.2">
      <c r="A212" s="2" t="str">
        <f>IF('Device Cables'!H215&lt;&gt;"",'Device Cables'!H215,"")</f>
        <v/>
      </c>
      <c r="B212" s="2" t="str">
        <f>IF('Device Cables'!I215&lt;&gt;"",'Device Cables'!I215,"")</f>
        <v/>
      </c>
    </row>
    <row r="213" spans="1:2" x14ac:dyDescent="0.2">
      <c r="A213" s="2" t="str">
        <f>IF('Device Cables'!H216&lt;&gt;"",'Device Cables'!H216,"")</f>
        <v/>
      </c>
      <c r="B213" s="2" t="str">
        <f>IF('Device Cables'!I216&lt;&gt;"",'Device Cables'!I216,"")</f>
        <v/>
      </c>
    </row>
    <row r="214" spans="1:2" x14ac:dyDescent="0.2">
      <c r="A214" s="2" t="str">
        <f>IF('Device Cables'!H217&lt;&gt;"",'Device Cables'!H217,"")</f>
        <v/>
      </c>
      <c r="B214" s="2" t="str">
        <f>IF('Device Cables'!I217&lt;&gt;"",'Device Cables'!I217,"")</f>
        <v/>
      </c>
    </row>
    <row r="215" spans="1:2" x14ac:dyDescent="0.2">
      <c r="A215" s="2" t="str">
        <f>IF('Device Cables'!H218&lt;&gt;"",'Device Cables'!H218,"")</f>
        <v/>
      </c>
      <c r="B215" s="2" t="str">
        <f>IF('Device Cables'!I218&lt;&gt;"",'Device Cables'!I218,"")</f>
        <v/>
      </c>
    </row>
    <row r="216" spans="1:2" x14ac:dyDescent="0.2">
      <c r="A216" s="2" t="str">
        <f>IF('Device Cables'!H219&lt;&gt;"",'Device Cables'!H219,"")</f>
        <v/>
      </c>
      <c r="B216" s="2" t="str">
        <f>IF('Device Cables'!I219&lt;&gt;"",'Device Cables'!I219,"")</f>
        <v/>
      </c>
    </row>
    <row r="217" spans="1:2" x14ac:dyDescent="0.2">
      <c r="A217" s="2" t="str">
        <f>IF('Device Cables'!H220&lt;&gt;"",'Device Cables'!H220,"")</f>
        <v/>
      </c>
      <c r="B217" s="2" t="str">
        <f>IF('Device Cables'!I220&lt;&gt;"",'Device Cables'!I220,"")</f>
        <v/>
      </c>
    </row>
    <row r="218" spans="1:2" x14ac:dyDescent="0.2">
      <c r="A218" s="2" t="str">
        <f>IF('Device Cables'!H221&lt;&gt;"",'Device Cables'!H221,"")</f>
        <v/>
      </c>
      <c r="B218" s="2" t="str">
        <f>IF('Device Cables'!I221&lt;&gt;"",'Device Cables'!I221,"")</f>
        <v/>
      </c>
    </row>
    <row r="219" spans="1:2" x14ac:dyDescent="0.2">
      <c r="A219" s="2" t="str">
        <f>IF('Device Cables'!H222&lt;&gt;"",'Device Cables'!H222,"")</f>
        <v/>
      </c>
      <c r="B219" s="2" t="str">
        <f>IF('Device Cables'!I222&lt;&gt;"",'Device Cables'!I222,"")</f>
        <v/>
      </c>
    </row>
    <row r="220" spans="1:2" x14ac:dyDescent="0.2">
      <c r="A220" s="2" t="str">
        <f>IF('Device Cables'!H223&lt;&gt;"",'Device Cables'!H223,"")</f>
        <v/>
      </c>
      <c r="B220" s="2" t="str">
        <f>IF('Device Cables'!I223&lt;&gt;"",'Device Cables'!I223,"")</f>
        <v/>
      </c>
    </row>
    <row r="221" spans="1:2" x14ac:dyDescent="0.2">
      <c r="A221" s="2" t="str">
        <f>IF('Device Cables'!H224&lt;&gt;"",'Device Cables'!H224,"")</f>
        <v/>
      </c>
      <c r="B221" s="2" t="str">
        <f>IF('Device Cables'!I224&lt;&gt;"",'Device Cables'!I224,"")</f>
        <v/>
      </c>
    </row>
    <row r="222" spans="1:2" x14ac:dyDescent="0.2">
      <c r="A222" s="2" t="str">
        <f>IF('Device Cables'!H225&lt;&gt;"",'Device Cables'!H225,"")</f>
        <v/>
      </c>
      <c r="B222" s="2" t="str">
        <f>IF('Device Cables'!I225&lt;&gt;"",'Device Cables'!I225,"")</f>
        <v/>
      </c>
    </row>
    <row r="223" spans="1:2" x14ac:dyDescent="0.2">
      <c r="A223" s="2" t="str">
        <f>IF('Device Cables'!H226&lt;&gt;"",'Device Cables'!H226,"")</f>
        <v/>
      </c>
      <c r="B223" s="2" t="str">
        <f>IF('Device Cables'!I226&lt;&gt;"",'Device Cables'!I226,"")</f>
        <v/>
      </c>
    </row>
    <row r="224" spans="1:2" x14ac:dyDescent="0.2">
      <c r="A224" s="2" t="str">
        <f>IF('Device Cables'!H227&lt;&gt;"",'Device Cables'!H227,"")</f>
        <v/>
      </c>
      <c r="B224" s="2" t="str">
        <f>IF('Device Cables'!I227&lt;&gt;"",'Device Cables'!I227,"")</f>
        <v/>
      </c>
    </row>
    <row r="225" spans="1:2" x14ac:dyDescent="0.2">
      <c r="A225" s="2" t="str">
        <f>IF('Device Cables'!H228&lt;&gt;"",'Device Cables'!H228,"")</f>
        <v/>
      </c>
      <c r="B225" s="2" t="str">
        <f>IF('Device Cables'!I228&lt;&gt;"",'Device Cables'!I228,"")</f>
        <v/>
      </c>
    </row>
    <row r="226" spans="1:2" x14ac:dyDescent="0.2">
      <c r="A226" s="2" t="str">
        <f>IF('Device Cables'!H229&lt;&gt;"",'Device Cables'!H229,"")</f>
        <v/>
      </c>
      <c r="B226" s="2" t="str">
        <f>IF('Device Cables'!I229&lt;&gt;"",'Device Cables'!I229,"")</f>
        <v/>
      </c>
    </row>
    <row r="227" spans="1:2" x14ac:dyDescent="0.2">
      <c r="A227" s="2" t="str">
        <f>IF('Device Cables'!H230&lt;&gt;"",'Device Cables'!H230,"")</f>
        <v/>
      </c>
      <c r="B227" s="2" t="str">
        <f>IF('Device Cables'!I230&lt;&gt;"",'Device Cables'!I230,"")</f>
        <v/>
      </c>
    </row>
    <row r="228" spans="1:2" x14ac:dyDescent="0.2">
      <c r="A228" s="2" t="str">
        <f>IF('Device Cables'!H231&lt;&gt;"",'Device Cables'!H231,"")</f>
        <v/>
      </c>
      <c r="B228" s="2" t="str">
        <f>IF('Device Cables'!I231&lt;&gt;"",'Device Cables'!I231,"")</f>
        <v/>
      </c>
    </row>
    <row r="229" spans="1:2" x14ac:dyDescent="0.2">
      <c r="A229" s="2" t="str">
        <f>IF('Device Cables'!H232&lt;&gt;"",'Device Cables'!H232,"")</f>
        <v/>
      </c>
      <c r="B229" s="2" t="str">
        <f>IF('Device Cables'!I232&lt;&gt;"",'Device Cables'!I232,"")</f>
        <v/>
      </c>
    </row>
    <row r="230" spans="1:2" x14ac:dyDescent="0.2">
      <c r="A230" s="2" t="str">
        <f>IF('Device Cables'!H233&lt;&gt;"",'Device Cables'!H233,"")</f>
        <v/>
      </c>
      <c r="B230" s="2" t="str">
        <f>IF('Device Cables'!I233&lt;&gt;"",'Device Cables'!I233,"")</f>
        <v/>
      </c>
    </row>
    <row r="231" spans="1:2" x14ac:dyDescent="0.2">
      <c r="A231" s="2" t="str">
        <f>IF('Device Cables'!H234&lt;&gt;"",'Device Cables'!H234,"")</f>
        <v/>
      </c>
      <c r="B231" s="2" t="str">
        <f>IF('Device Cables'!I234&lt;&gt;"",'Device Cables'!I234,"")</f>
        <v/>
      </c>
    </row>
    <row r="232" spans="1:2" x14ac:dyDescent="0.2">
      <c r="A232" s="2" t="str">
        <f>IF('Device Cables'!H235&lt;&gt;"",'Device Cables'!H235,"")</f>
        <v/>
      </c>
      <c r="B232" s="2" t="str">
        <f>IF('Device Cables'!I235&lt;&gt;"",'Device Cables'!I235,"")</f>
        <v/>
      </c>
    </row>
    <row r="233" spans="1:2" x14ac:dyDescent="0.2">
      <c r="A233" s="2" t="str">
        <f>IF('Device Cables'!H236&lt;&gt;"",'Device Cables'!H236,"")</f>
        <v/>
      </c>
      <c r="B233" s="2" t="str">
        <f>IF('Device Cables'!I236&lt;&gt;"",'Device Cables'!I236,"")</f>
        <v/>
      </c>
    </row>
    <row r="234" spans="1:2" x14ac:dyDescent="0.2">
      <c r="A234" s="2" t="str">
        <f>IF('Device Cables'!H237&lt;&gt;"",'Device Cables'!H237,"")</f>
        <v/>
      </c>
      <c r="B234" s="2" t="str">
        <f>IF('Device Cables'!I237&lt;&gt;"",'Device Cables'!I237,"")</f>
        <v/>
      </c>
    </row>
    <row r="235" spans="1:2" x14ac:dyDescent="0.2">
      <c r="A235" s="2" t="str">
        <f>IF('Device Cables'!H238&lt;&gt;"",'Device Cables'!H238,"")</f>
        <v/>
      </c>
      <c r="B235" s="2" t="str">
        <f>IF('Device Cables'!I238&lt;&gt;"",'Device Cables'!I238,"")</f>
        <v/>
      </c>
    </row>
    <row r="236" spans="1:2" x14ac:dyDescent="0.2">
      <c r="A236" s="2" t="str">
        <f>IF('Device Cables'!H239&lt;&gt;"",'Device Cables'!H239,"")</f>
        <v/>
      </c>
      <c r="B236" s="2" t="str">
        <f>IF('Device Cables'!I239&lt;&gt;"",'Device Cables'!I239,"")</f>
        <v/>
      </c>
    </row>
    <row r="237" spans="1:2" x14ac:dyDescent="0.2">
      <c r="A237" s="2" t="str">
        <f>IF('Device Cables'!H240&lt;&gt;"",'Device Cables'!H240,"")</f>
        <v/>
      </c>
      <c r="B237" s="2" t="str">
        <f>IF('Device Cables'!I240&lt;&gt;"",'Device Cables'!I240,"")</f>
        <v/>
      </c>
    </row>
    <row r="238" spans="1:2" x14ac:dyDescent="0.2">
      <c r="A238" s="2" t="str">
        <f>IF('Device Cables'!H241&lt;&gt;"",'Device Cables'!H241,"")</f>
        <v/>
      </c>
      <c r="B238" s="2" t="str">
        <f>IF('Device Cables'!I241&lt;&gt;"",'Device Cables'!I241,"")</f>
        <v/>
      </c>
    </row>
    <row r="239" spans="1:2" x14ac:dyDescent="0.2">
      <c r="A239" s="2" t="str">
        <f>IF('Device Cables'!H242&lt;&gt;"",'Device Cables'!H242,"")</f>
        <v/>
      </c>
      <c r="B239" s="2" t="str">
        <f>IF('Device Cables'!I242&lt;&gt;"",'Device Cables'!I242,"")</f>
        <v/>
      </c>
    </row>
    <row r="240" spans="1:2" x14ac:dyDescent="0.2">
      <c r="A240" s="2" t="str">
        <f>IF('Device Cables'!H243&lt;&gt;"",'Device Cables'!H243,"")</f>
        <v/>
      </c>
      <c r="B240" s="2" t="str">
        <f>IF('Device Cables'!I243&lt;&gt;"",'Device Cables'!I243,"")</f>
        <v/>
      </c>
    </row>
    <row r="241" spans="1:2" x14ac:dyDescent="0.2">
      <c r="A241" s="2" t="str">
        <f>IF('Device Cables'!H244&lt;&gt;"",'Device Cables'!H244,"")</f>
        <v/>
      </c>
      <c r="B241" s="2" t="str">
        <f>IF('Device Cables'!I244&lt;&gt;"",'Device Cables'!I244,"")</f>
        <v/>
      </c>
    </row>
    <row r="242" spans="1:2" x14ac:dyDescent="0.2">
      <c r="A242" s="2" t="str">
        <f>IF('Device Cables'!H245&lt;&gt;"",'Device Cables'!H245,"")</f>
        <v/>
      </c>
      <c r="B242" s="2" t="str">
        <f>IF('Device Cables'!I245&lt;&gt;"",'Device Cables'!I245,"")</f>
        <v/>
      </c>
    </row>
    <row r="243" spans="1:2" x14ac:dyDescent="0.2">
      <c r="A243" s="2" t="str">
        <f>IF('Device Cables'!H246&lt;&gt;"",'Device Cables'!H246,"")</f>
        <v/>
      </c>
      <c r="B243" s="2" t="str">
        <f>IF('Device Cables'!I246&lt;&gt;"",'Device Cables'!I246,"")</f>
        <v/>
      </c>
    </row>
    <row r="244" spans="1:2" x14ac:dyDescent="0.2">
      <c r="A244" s="2" t="str">
        <f>IF('Device Cables'!H247&lt;&gt;"",'Device Cables'!H247,"")</f>
        <v/>
      </c>
      <c r="B244" s="2" t="str">
        <f>IF('Device Cables'!I247&lt;&gt;"",'Device Cables'!I247,"")</f>
        <v/>
      </c>
    </row>
    <row r="245" spans="1:2" x14ac:dyDescent="0.2">
      <c r="A245" s="2" t="str">
        <f>IF('Device Cables'!H248&lt;&gt;"",'Device Cables'!H248,"")</f>
        <v/>
      </c>
      <c r="B245" s="2" t="str">
        <f>IF('Device Cables'!I248&lt;&gt;"",'Device Cables'!I248,"")</f>
        <v/>
      </c>
    </row>
    <row r="246" spans="1:2" x14ac:dyDescent="0.2">
      <c r="A246" s="2" t="str">
        <f>IF('Device Cables'!H249&lt;&gt;"",'Device Cables'!H249,"")</f>
        <v/>
      </c>
      <c r="B246" s="2" t="str">
        <f>IF('Device Cables'!I249&lt;&gt;"",'Device Cables'!I249,"")</f>
        <v/>
      </c>
    </row>
    <row r="247" spans="1:2" x14ac:dyDescent="0.2">
      <c r="A247" s="2" t="str">
        <f>IF('Device Cables'!H250&lt;&gt;"",'Device Cables'!H250,"")</f>
        <v/>
      </c>
      <c r="B247" s="2" t="str">
        <f>IF('Device Cables'!I250&lt;&gt;"",'Device Cables'!I250,"")</f>
        <v/>
      </c>
    </row>
    <row r="248" spans="1:2" x14ac:dyDescent="0.2">
      <c r="A248" s="2" t="str">
        <f>IF('Device Cables'!H251&lt;&gt;"",'Device Cables'!H251,"")</f>
        <v/>
      </c>
      <c r="B248" s="2" t="str">
        <f>IF('Device Cables'!I251&lt;&gt;"",'Device Cables'!I251,"")</f>
        <v/>
      </c>
    </row>
    <row r="249" spans="1:2" x14ac:dyDescent="0.2">
      <c r="A249" s="2" t="str">
        <f>IF('Device Cables'!H252&lt;&gt;"",'Device Cables'!H252,"")</f>
        <v/>
      </c>
      <c r="B249" s="2" t="str">
        <f>IF('Device Cables'!I252&lt;&gt;"",'Device Cables'!I252,"")</f>
        <v/>
      </c>
    </row>
    <row r="250" spans="1:2" x14ac:dyDescent="0.2">
      <c r="A250" s="2" t="str">
        <f>IF('Device Cables'!H253&lt;&gt;"",'Device Cables'!H253,"")</f>
        <v/>
      </c>
      <c r="B250" s="2" t="str">
        <f>IF('Device Cables'!I253&lt;&gt;"",'Device Cables'!I253,"")</f>
        <v/>
      </c>
    </row>
    <row r="251" spans="1:2" x14ac:dyDescent="0.2">
      <c r="A251" s="2" t="str">
        <f>IF('Device Cables'!H254&lt;&gt;"",'Device Cables'!H254,"")</f>
        <v/>
      </c>
      <c r="B251" s="2" t="str">
        <f>IF('Device Cables'!I254&lt;&gt;"",'Device Cables'!I254,"")</f>
        <v/>
      </c>
    </row>
    <row r="252" spans="1:2" x14ac:dyDescent="0.2">
      <c r="A252" s="2" t="str">
        <f>IF('Device Cables'!H255&lt;&gt;"",'Device Cables'!H255,"")</f>
        <v/>
      </c>
      <c r="B252" s="2" t="str">
        <f>IF('Device Cables'!I255&lt;&gt;"",'Device Cables'!I255,"")</f>
        <v/>
      </c>
    </row>
    <row r="253" spans="1:2" x14ac:dyDescent="0.2">
      <c r="A253" s="2" t="str">
        <f>IF('Device Cables'!H256&lt;&gt;"",'Device Cables'!H256,"")</f>
        <v/>
      </c>
      <c r="B253" s="2" t="str">
        <f>IF('Device Cables'!I256&lt;&gt;"",'Device Cables'!I256,"")</f>
        <v/>
      </c>
    </row>
    <row r="254" spans="1:2" x14ac:dyDescent="0.2">
      <c r="A254" s="2" t="str">
        <f>IF('Device Cables'!H257&lt;&gt;"",'Device Cables'!H257,"")</f>
        <v/>
      </c>
      <c r="B254" s="2" t="str">
        <f>IF('Device Cables'!I257&lt;&gt;"",'Device Cables'!I257,"")</f>
        <v/>
      </c>
    </row>
    <row r="255" spans="1:2" x14ac:dyDescent="0.2">
      <c r="A255" s="2" t="str">
        <f>IF('Device Cables'!H258&lt;&gt;"",'Device Cables'!H258,"")</f>
        <v/>
      </c>
      <c r="B255" s="2" t="str">
        <f>IF('Device Cables'!I258&lt;&gt;"",'Device Cables'!I258,"")</f>
        <v/>
      </c>
    </row>
    <row r="256" spans="1:2" x14ac:dyDescent="0.2">
      <c r="A256" s="2" t="str">
        <f>IF('Device Cables'!H259&lt;&gt;"",'Device Cables'!H259,"")</f>
        <v/>
      </c>
      <c r="B256" s="2" t="str">
        <f>IF('Device Cables'!I259&lt;&gt;"",'Device Cables'!I259,"")</f>
        <v/>
      </c>
    </row>
    <row r="257" spans="1:2" x14ac:dyDescent="0.2">
      <c r="A257" s="2" t="str">
        <f>IF('Device Cables'!H260&lt;&gt;"",'Device Cables'!H260,"")</f>
        <v/>
      </c>
      <c r="B257" s="2" t="str">
        <f>IF('Device Cables'!I260&lt;&gt;"",'Device Cables'!I260,"")</f>
        <v/>
      </c>
    </row>
    <row r="258" spans="1:2" x14ac:dyDescent="0.2">
      <c r="A258" s="2" t="str">
        <f>IF('Device Cables'!H261&lt;&gt;"",'Device Cables'!H261,"")</f>
        <v/>
      </c>
      <c r="B258" s="2" t="str">
        <f>IF('Device Cables'!I261&lt;&gt;"",'Device Cables'!I261,"")</f>
        <v/>
      </c>
    </row>
    <row r="259" spans="1:2" x14ac:dyDescent="0.2">
      <c r="A259" s="2" t="str">
        <f>IF('Device Cables'!H262&lt;&gt;"",'Device Cables'!H262,"")</f>
        <v/>
      </c>
      <c r="B259" s="2" t="str">
        <f>IF('Device Cables'!I262&lt;&gt;"",'Device Cables'!I262,"")</f>
        <v/>
      </c>
    </row>
    <row r="260" spans="1:2" x14ac:dyDescent="0.2">
      <c r="A260" s="2" t="str">
        <f>IF('Device Cables'!H263&lt;&gt;"",'Device Cables'!H263,"")</f>
        <v/>
      </c>
      <c r="B260" s="2" t="str">
        <f>IF('Device Cables'!I263&lt;&gt;"",'Device Cables'!I263,"")</f>
        <v/>
      </c>
    </row>
    <row r="261" spans="1:2" x14ac:dyDescent="0.2">
      <c r="A261" s="2" t="str">
        <f>IF('Device Cables'!H264&lt;&gt;"",'Device Cables'!H264,"")</f>
        <v/>
      </c>
      <c r="B261" s="2" t="str">
        <f>IF('Device Cables'!I264&lt;&gt;"",'Device Cables'!I264,"")</f>
        <v/>
      </c>
    </row>
    <row r="262" spans="1:2" x14ac:dyDescent="0.2">
      <c r="A262" s="2" t="str">
        <f>IF('Device Cables'!H265&lt;&gt;"",'Device Cables'!H265,"")</f>
        <v/>
      </c>
      <c r="B262" s="2" t="str">
        <f>IF('Device Cables'!I265&lt;&gt;"",'Device Cables'!I265,"")</f>
        <v/>
      </c>
    </row>
    <row r="263" spans="1:2" x14ac:dyDescent="0.2">
      <c r="A263" s="2" t="str">
        <f>IF('Device Cables'!H266&lt;&gt;"",'Device Cables'!H266,"")</f>
        <v/>
      </c>
      <c r="B263" s="2" t="str">
        <f>IF('Device Cables'!I266&lt;&gt;"",'Device Cables'!I266,"")</f>
        <v/>
      </c>
    </row>
    <row r="264" spans="1:2" x14ac:dyDescent="0.2">
      <c r="A264" s="2" t="str">
        <f>IF('Device Cables'!H267&lt;&gt;"",'Device Cables'!H267,"")</f>
        <v/>
      </c>
      <c r="B264" s="2" t="str">
        <f>IF('Device Cables'!I267&lt;&gt;"",'Device Cables'!I267,"")</f>
        <v/>
      </c>
    </row>
    <row r="265" spans="1:2" x14ac:dyDescent="0.2">
      <c r="A265" s="2" t="str">
        <f>IF('Device Cables'!H268&lt;&gt;"",'Device Cables'!H268,"")</f>
        <v/>
      </c>
      <c r="B265" s="2" t="str">
        <f>IF('Device Cables'!I268&lt;&gt;"",'Device Cables'!I268,"")</f>
        <v/>
      </c>
    </row>
    <row r="266" spans="1:2" x14ac:dyDescent="0.2">
      <c r="A266" s="2" t="str">
        <f>IF('Device Cables'!H269&lt;&gt;"",'Device Cables'!H269,"")</f>
        <v/>
      </c>
      <c r="B266" s="2" t="str">
        <f>IF('Device Cables'!I269&lt;&gt;"",'Device Cables'!I269,"")</f>
        <v/>
      </c>
    </row>
    <row r="267" spans="1:2" x14ac:dyDescent="0.2">
      <c r="A267" s="2" t="str">
        <f>IF('Device Cables'!H270&lt;&gt;"",'Device Cables'!H270,"")</f>
        <v/>
      </c>
      <c r="B267" s="2" t="str">
        <f>IF('Device Cables'!I270&lt;&gt;"",'Device Cables'!I270,"")</f>
        <v/>
      </c>
    </row>
    <row r="268" spans="1:2" x14ac:dyDescent="0.2">
      <c r="A268" s="2" t="str">
        <f>IF('Device Cables'!H271&lt;&gt;"",'Device Cables'!H271,"")</f>
        <v/>
      </c>
      <c r="B268" s="2" t="str">
        <f>IF('Device Cables'!I271&lt;&gt;"",'Device Cables'!I271,"")</f>
        <v/>
      </c>
    </row>
    <row r="269" spans="1:2" x14ac:dyDescent="0.2">
      <c r="A269" s="2" t="str">
        <f>IF('Device Cables'!H272&lt;&gt;"",'Device Cables'!H272,"")</f>
        <v/>
      </c>
      <c r="B269" s="2" t="str">
        <f>IF('Device Cables'!I272&lt;&gt;"",'Device Cables'!I272,"")</f>
        <v/>
      </c>
    </row>
    <row r="270" spans="1:2" x14ac:dyDescent="0.2">
      <c r="A270" s="2" t="str">
        <f>IF('Device Cables'!H273&lt;&gt;"",'Device Cables'!H273,"")</f>
        <v/>
      </c>
      <c r="B270" s="2" t="str">
        <f>IF('Device Cables'!I273&lt;&gt;"",'Device Cables'!I273,"")</f>
        <v/>
      </c>
    </row>
    <row r="271" spans="1:2" x14ac:dyDescent="0.2">
      <c r="A271" s="2" t="str">
        <f>IF('Device Cables'!H274&lt;&gt;"",'Device Cables'!H274,"")</f>
        <v/>
      </c>
      <c r="B271" s="2" t="str">
        <f>IF('Device Cables'!I274&lt;&gt;"",'Device Cables'!I274,"")</f>
        <v/>
      </c>
    </row>
    <row r="272" spans="1:2" x14ac:dyDescent="0.2">
      <c r="A272" s="2" t="str">
        <f>IF('Device Cables'!H275&lt;&gt;"",'Device Cables'!H275,"")</f>
        <v/>
      </c>
      <c r="B272" s="2" t="str">
        <f>IF('Device Cables'!I275&lt;&gt;"",'Device Cables'!I275,"")</f>
        <v/>
      </c>
    </row>
    <row r="273" spans="1:2" x14ac:dyDescent="0.2">
      <c r="A273" s="2" t="str">
        <f>IF('Device Cables'!H276&lt;&gt;"",'Device Cables'!H276,"")</f>
        <v/>
      </c>
      <c r="B273" s="2" t="str">
        <f>IF('Device Cables'!I276&lt;&gt;"",'Device Cables'!I276,"")</f>
        <v/>
      </c>
    </row>
    <row r="274" spans="1:2" x14ac:dyDescent="0.2">
      <c r="A274" s="2" t="str">
        <f>IF('Device Cables'!H277&lt;&gt;"",'Device Cables'!H277,"")</f>
        <v/>
      </c>
      <c r="B274" s="2" t="str">
        <f>IF('Device Cables'!I277&lt;&gt;"",'Device Cables'!I277,"")</f>
        <v/>
      </c>
    </row>
    <row r="275" spans="1:2" x14ac:dyDescent="0.2">
      <c r="A275" s="2" t="str">
        <f>IF('Device Cables'!H278&lt;&gt;"",'Device Cables'!H278,"")</f>
        <v/>
      </c>
      <c r="B275" s="2" t="str">
        <f>IF('Device Cables'!I278&lt;&gt;"",'Device Cables'!I278,"")</f>
        <v/>
      </c>
    </row>
    <row r="276" spans="1:2" x14ac:dyDescent="0.2">
      <c r="A276" s="2" t="str">
        <f>IF('Device Cables'!H279&lt;&gt;"",'Device Cables'!H279,"")</f>
        <v/>
      </c>
      <c r="B276" s="2" t="str">
        <f>IF('Device Cables'!I279&lt;&gt;"",'Device Cables'!I279,"")</f>
        <v/>
      </c>
    </row>
    <row r="277" spans="1:2" x14ac:dyDescent="0.2">
      <c r="A277" s="2" t="str">
        <f>IF('Device Cables'!H280&lt;&gt;"",'Device Cables'!H280,"")</f>
        <v/>
      </c>
      <c r="B277" s="2" t="str">
        <f>IF('Device Cables'!I280&lt;&gt;"",'Device Cables'!I280,"")</f>
        <v/>
      </c>
    </row>
    <row r="278" spans="1:2" x14ac:dyDescent="0.2">
      <c r="A278" s="2" t="str">
        <f>IF('Device Cables'!H281&lt;&gt;"",'Device Cables'!H281,"")</f>
        <v/>
      </c>
      <c r="B278" s="2" t="str">
        <f>IF('Device Cables'!I281&lt;&gt;"",'Device Cables'!I281,"")</f>
        <v/>
      </c>
    </row>
    <row r="279" spans="1:2" x14ac:dyDescent="0.2">
      <c r="A279" s="2" t="str">
        <f>IF('Device Cables'!H282&lt;&gt;"",'Device Cables'!H282,"")</f>
        <v/>
      </c>
      <c r="B279" s="2" t="str">
        <f>IF('Device Cables'!I282&lt;&gt;"",'Device Cables'!I282,"")</f>
        <v/>
      </c>
    </row>
    <row r="280" spans="1:2" x14ac:dyDescent="0.2">
      <c r="A280" s="2" t="str">
        <f>IF('Device Cables'!H283&lt;&gt;"",'Device Cables'!H283,"")</f>
        <v/>
      </c>
      <c r="B280" s="2" t="str">
        <f>IF('Device Cables'!I283&lt;&gt;"",'Device Cables'!I283,"")</f>
        <v/>
      </c>
    </row>
    <row r="281" spans="1:2" x14ac:dyDescent="0.2">
      <c r="A281" s="2" t="str">
        <f>IF('Device Cables'!H284&lt;&gt;"",'Device Cables'!H284,"")</f>
        <v/>
      </c>
      <c r="B281" s="2" t="str">
        <f>IF('Device Cables'!I284&lt;&gt;"",'Device Cables'!I284,"")</f>
        <v/>
      </c>
    </row>
    <row r="282" spans="1:2" x14ac:dyDescent="0.2">
      <c r="A282" s="2" t="str">
        <f>IF('Device Cables'!H285&lt;&gt;"",'Device Cables'!H285,"")</f>
        <v/>
      </c>
      <c r="B282" s="2" t="str">
        <f>IF('Device Cables'!I285&lt;&gt;"",'Device Cables'!I285,"")</f>
        <v/>
      </c>
    </row>
    <row r="283" spans="1:2" x14ac:dyDescent="0.2">
      <c r="A283" s="2" t="str">
        <f>IF('Device Cables'!H286&lt;&gt;"",'Device Cables'!H286,"")</f>
        <v/>
      </c>
      <c r="B283" s="2" t="str">
        <f>IF('Device Cables'!I286&lt;&gt;"",'Device Cables'!I286,"")</f>
        <v/>
      </c>
    </row>
    <row r="284" spans="1:2" x14ac:dyDescent="0.2">
      <c r="A284" s="2" t="str">
        <f>IF('Device Cables'!H287&lt;&gt;"",'Device Cables'!H287,"")</f>
        <v/>
      </c>
      <c r="B284" s="2" t="str">
        <f>IF('Device Cables'!I287&lt;&gt;"",'Device Cables'!I287,"")</f>
        <v/>
      </c>
    </row>
    <row r="285" spans="1:2" x14ac:dyDescent="0.2">
      <c r="A285" s="2" t="str">
        <f>IF('Device Cables'!H288&lt;&gt;"",'Device Cables'!H288,"")</f>
        <v/>
      </c>
      <c r="B285" s="2" t="str">
        <f>IF('Device Cables'!I288&lt;&gt;"",'Device Cables'!I288,"")</f>
        <v/>
      </c>
    </row>
    <row r="286" spans="1:2" x14ac:dyDescent="0.2">
      <c r="A286" s="2" t="str">
        <f>IF('Device Cables'!H289&lt;&gt;"",'Device Cables'!H289,"")</f>
        <v/>
      </c>
      <c r="B286" s="2" t="str">
        <f>IF('Device Cables'!I289&lt;&gt;"",'Device Cables'!I289,"")</f>
        <v/>
      </c>
    </row>
    <row r="287" spans="1:2" x14ac:dyDescent="0.2">
      <c r="A287" s="2" t="str">
        <f>IF('Device Cables'!H290&lt;&gt;"",'Device Cables'!H290,"")</f>
        <v/>
      </c>
      <c r="B287" s="2" t="str">
        <f>IF('Device Cables'!I290&lt;&gt;"",'Device Cables'!I290,"")</f>
        <v/>
      </c>
    </row>
    <row r="288" spans="1:2" x14ac:dyDescent="0.2">
      <c r="A288" s="2" t="str">
        <f>IF('Device Cables'!H291&lt;&gt;"",'Device Cables'!H291,"")</f>
        <v/>
      </c>
      <c r="B288" s="2" t="str">
        <f>IF('Device Cables'!I291&lt;&gt;"",'Device Cables'!I291,"")</f>
        <v/>
      </c>
    </row>
    <row r="289" spans="1:2" x14ac:dyDescent="0.2">
      <c r="A289" s="2" t="str">
        <f>IF('Device Cables'!H292&lt;&gt;"",'Device Cables'!H292,"")</f>
        <v/>
      </c>
      <c r="B289" s="2" t="str">
        <f>IF('Device Cables'!I292&lt;&gt;"",'Device Cables'!I292,"")</f>
        <v/>
      </c>
    </row>
    <row r="290" spans="1:2" x14ac:dyDescent="0.2">
      <c r="A290" s="2" t="str">
        <f>IF('Device Cables'!H293&lt;&gt;"",'Device Cables'!H293,"")</f>
        <v/>
      </c>
      <c r="B290" s="2" t="str">
        <f>IF('Device Cables'!I293&lt;&gt;"",'Device Cables'!I293,"")</f>
        <v/>
      </c>
    </row>
    <row r="291" spans="1:2" x14ac:dyDescent="0.2">
      <c r="A291" s="2" t="str">
        <f>IF('Device Cables'!H294&lt;&gt;"",'Device Cables'!H294,"")</f>
        <v/>
      </c>
      <c r="B291" s="2" t="str">
        <f>IF('Device Cables'!I294&lt;&gt;"",'Device Cables'!I294,"")</f>
        <v/>
      </c>
    </row>
    <row r="292" spans="1:2" x14ac:dyDescent="0.2">
      <c r="A292" s="2" t="str">
        <f>IF('Device Cables'!H295&lt;&gt;"",'Device Cables'!H295,"")</f>
        <v/>
      </c>
      <c r="B292" s="2" t="str">
        <f>IF('Device Cables'!I295&lt;&gt;"",'Device Cables'!I295,"")</f>
        <v/>
      </c>
    </row>
    <row r="293" spans="1:2" x14ac:dyDescent="0.2">
      <c r="A293" s="2" t="str">
        <f>IF('Device Cables'!H296&lt;&gt;"",'Device Cables'!H296,"")</f>
        <v/>
      </c>
      <c r="B293" s="2" t="str">
        <f>IF('Device Cables'!I296&lt;&gt;"",'Device Cables'!I296,"")</f>
        <v/>
      </c>
    </row>
    <row r="294" spans="1:2" x14ac:dyDescent="0.2">
      <c r="A294" s="2" t="str">
        <f>IF('Device Cables'!H297&lt;&gt;"",'Device Cables'!H297,"")</f>
        <v/>
      </c>
      <c r="B294" s="2" t="str">
        <f>IF('Device Cables'!I297&lt;&gt;"",'Device Cables'!I297,"")</f>
        <v/>
      </c>
    </row>
    <row r="295" spans="1:2" x14ac:dyDescent="0.2">
      <c r="A295" s="2" t="str">
        <f>IF('Device Cables'!H298&lt;&gt;"",'Device Cables'!H298,"")</f>
        <v/>
      </c>
      <c r="B295" s="2" t="str">
        <f>IF('Device Cables'!I298&lt;&gt;"",'Device Cables'!I298,"")</f>
        <v/>
      </c>
    </row>
    <row r="296" spans="1:2" x14ac:dyDescent="0.2">
      <c r="A296" s="2" t="str">
        <f>IF('Device Cables'!H299&lt;&gt;"",'Device Cables'!H299,"")</f>
        <v/>
      </c>
      <c r="B296" s="2" t="str">
        <f>IF('Device Cables'!I299&lt;&gt;"",'Device Cables'!I299,"")</f>
        <v/>
      </c>
    </row>
    <row r="297" spans="1:2" x14ac:dyDescent="0.2">
      <c r="A297" s="2" t="str">
        <f>IF('Device Cables'!H300&lt;&gt;"",'Device Cables'!H300,"")</f>
        <v/>
      </c>
      <c r="B297" s="2" t="str">
        <f>IF('Device Cables'!I300&lt;&gt;"",'Device Cables'!I300,"")</f>
        <v/>
      </c>
    </row>
    <row r="298" spans="1:2" x14ac:dyDescent="0.2">
      <c r="A298" s="2" t="str">
        <f>IF('Device Cables'!H301&lt;&gt;"",'Device Cables'!H301,"")</f>
        <v/>
      </c>
      <c r="B298" s="2" t="str">
        <f>IF('Device Cables'!I301&lt;&gt;"",'Device Cables'!I301,"")</f>
        <v/>
      </c>
    </row>
    <row r="299" spans="1:2" x14ac:dyDescent="0.2">
      <c r="A299" s="2" t="str">
        <f>IF('Device Cables'!H302&lt;&gt;"",'Device Cables'!H302,"")</f>
        <v/>
      </c>
      <c r="B299" s="2" t="str">
        <f>IF('Device Cables'!I302&lt;&gt;"",'Device Cables'!I302,"")</f>
        <v/>
      </c>
    </row>
    <row r="300" spans="1:2" x14ac:dyDescent="0.2">
      <c r="A300" s="2" t="str">
        <f>IF('Device Cables'!H303&lt;&gt;"",'Device Cables'!H303,"")</f>
        <v/>
      </c>
      <c r="B300" s="2" t="str">
        <f>IF('Device Cables'!I303&lt;&gt;"",'Device Cables'!I303,"")</f>
        <v/>
      </c>
    </row>
    <row r="301" spans="1:2" x14ac:dyDescent="0.2">
      <c r="A301" s="2" t="str">
        <f>IF('Device Cables'!H304&lt;&gt;"",'Device Cables'!H304,"")</f>
        <v/>
      </c>
      <c r="B301" s="2" t="str">
        <f>IF('Device Cables'!I304&lt;&gt;"",'Device Cables'!I304,"")</f>
        <v/>
      </c>
    </row>
    <row r="302" spans="1:2" x14ac:dyDescent="0.2">
      <c r="A302" s="2" t="str">
        <f>IF('Device Cables'!H305&lt;&gt;"",'Device Cables'!H305,"")</f>
        <v/>
      </c>
      <c r="B302" s="2" t="str">
        <f>IF('Device Cables'!I305&lt;&gt;"",'Device Cables'!I305,"")</f>
        <v/>
      </c>
    </row>
    <row r="303" spans="1:2" x14ac:dyDescent="0.2">
      <c r="A303" s="2" t="str">
        <f>IF('Device Cables'!H306&lt;&gt;"",'Device Cables'!H306,"")</f>
        <v/>
      </c>
      <c r="B303" s="2" t="str">
        <f>IF('Device Cables'!I306&lt;&gt;"",'Device Cables'!I306,"")</f>
        <v/>
      </c>
    </row>
    <row r="304" spans="1:2" x14ac:dyDescent="0.2">
      <c r="A304" s="2" t="str">
        <f>IF('Device Cables'!H307&lt;&gt;"",'Device Cables'!H307,"")</f>
        <v/>
      </c>
      <c r="B304" s="2" t="str">
        <f>IF('Device Cables'!I307&lt;&gt;"",'Device Cables'!I307,"")</f>
        <v/>
      </c>
    </row>
    <row r="305" spans="1:2" x14ac:dyDescent="0.2">
      <c r="A305" s="2" t="str">
        <f>IF('Device Cables'!H308&lt;&gt;"",'Device Cables'!H308,"")</f>
        <v/>
      </c>
      <c r="B305" s="2" t="str">
        <f>IF('Device Cables'!I308&lt;&gt;"",'Device Cables'!I308,"")</f>
        <v/>
      </c>
    </row>
    <row r="306" spans="1:2" x14ac:dyDescent="0.2">
      <c r="A306" s="2" t="str">
        <f>IF('Device Cables'!H309&lt;&gt;"",'Device Cables'!H309,"")</f>
        <v/>
      </c>
      <c r="B306" s="2" t="str">
        <f>IF('Device Cables'!I309&lt;&gt;"",'Device Cables'!I309,"")</f>
        <v/>
      </c>
    </row>
    <row r="307" spans="1:2" x14ac:dyDescent="0.2">
      <c r="A307" s="2" t="str">
        <f>IF('Device Cables'!H310&lt;&gt;"",'Device Cables'!H310,"")</f>
        <v/>
      </c>
      <c r="B307" s="2" t="str">
        <f>IF('Device Cables'!I310&lt;&gt;"",'Device Cables'!I310,"")</f>
        <v/>
      </c>
    </row>
    <row r="308" spans="1:2" x14ac:dyDescent="0.2">
      <c r="A308" s="2" t="str">
        <f>IF('Device Cables'!H311&lt;&gt;"",'Device Cables'!H311,"")</f>
        <v/>
      </c>
      <c r="B308" s="2" t="str">
        <f>IF('Device Cables'!I311&lt;&gt;"",'Device Cables'!I311,"")</f>
        <v/>
      </c>
    </row>
    <row r="309" spans="1:2" x14ac:dyDescent="0.2">
      <c r="A309" s="2" t="str">
        <f>IF('Device Cables'!H312&lt;&gt;"",'Device Cables'!H312,"")</f>
        <v/>
      </c>
      <c r="B309" s="2" t="str">
        <f>IF('Device Cables'!I312&lt;&gt;"",'Device Cables'!I312,"")</f>
        <v/>
      </c>
    </row>
    <row r="310" spans="1:2" x14ac:dyDescent="0.2">
      <c r="A310" s="2" t="str">
        <f>IF('Device Cables'!H313&lt;&gt;"",'Device Cables'!H313,"")</f>
        <v/>
      </c>
      <c r="B310" s="2" t="str">
        <f>IF('Device Cables'!I313&lt;&gt;"",'Device Cables'!I313,"")</f>
        <v/>
      </c>
    </row>
    <row r="311" spans="1:2" x14ac:dyDescent="0.2">
      <c r="A311" s="2" t="str">
        <f>IF('Device Cables'!H314&lt;&gt;"",'Device Cables'!H314,"")</f>
        <v/>
      </c>
      <c r="B311" s="2" t="str">
        <f>IF('Device Cables'!I314&lt;&gt;"",'Device Cables'!I314,"")</f>
        <v/>
      </c>
    </row>
    <row r="312" spans="1:2" x14ac:dyDescent="0.2">
      <c r="A312" s="2" t="str">
        <f>IF('Device Cables'!H315&lt;&gt;"",'Device Cables'!H315,"")</f>
        <v/>
      </c>
      <c r="B312" s="2" t="str">
        <f>IF('Device Cables'!I315&lt;&gt;"",'Device Cables'!I315,"")</f>
        <v/>
      </c>
    </row>
    <row r="313" spans="1:2" x14ac:dyDescent="0.2">
      <c r="A313" s="2" t="str">
        <f>IF('Device Cables'!H316&lt;&gt;"",'Device Cables'!H316,"")</f>
        <v/>
      </c>
      <c r="B313" s="2" t="str">
        <f>IF('Device Cables'!I316&lt;&gt;"",'Device Cables'!I316,"")</f>
        <v/>
      </c>
    </row>
    <row r="314" spans="1:2" x14ac:dyDescent="0.2">
      <c r="A314" s="2" t="str">
        <f>IF('Device Cables'!H317&lt;&gt;"",'Device Cables'!H317,"")</f>
        <v/>
      </c>
      <c r="B314" s="2" t="str">
        <f>IF('Device Cables'!I317&lt;&gt;"",'Device Cables'!I317,"")</f>
        <v/>
      </c>
    </row>
    <row r="315" spans="1:2" x14ac:dyDescent="0.2">
      <c r="A315" s="2" t="str">
        <f>IF('Device Cables'!H318&lt;&gt;"",'Device Cables'!H318,"")</f>
        <v/>
      </c>
      <c r="B315" s="2" t="str">
        <f>IF('Device Cables'!I318&lt;&gt;"",'Device Cables'!I318,"")</f>
        <v/>
      </c>
    </row>
    <row r="316" spans="1:2" x14ac:dyDescent="0.2">
      <c r="A316" s="2" t="str">
        <f>IF('Device Cables'!H319&lt;&gt;"",'Device Cables'!H319,"")</f>
        <v/>
      </c>
      <c r="B316" s="2" t="str">
        <f>IF('Device Cables'!I319&lt;&gt;"",'Device Cables'!I319,"")</f>
        <v/>
      </c>
    </row>
    <row r="317" spans="1:2" x14ac:dyDescent="0.2">
      <c r="A317" s="2" t="str">
        <f>IF('Device Cables'!H320&lt;&gt;"",'Device Cables'!H320,"")</f>
        <v/>
      </c>
      <c r="B317" s="2" t="str">
        <f>IF('Device Cables'!I320&lt;&gt;"",'Device Cables'!I320,"")</f>
        <v/>
      </c>
    </row>
    <row r="318" spans="1:2" x14ac:dyDescent="0.2">
      <c r="A318" s="2" t="str">
        <f>IF('Device Cables'!H321&lt;&gt;"",'Device Cables'!H321,"")</f>
        <v/>
      </c>
      <c r="B318" s="2" t="str">
        <f>IF('Device Cables'!I321&lt;&gt;"",'Device Cables'!I321,"")</f>
        <v/>
      </c>
    </row>
    <row r="319" spans="1:2" x14ac:dyDescent="0.2">
      <c r="A319" s="2" t="str">
        <f>IF('Device Cables'!H322&lt;&gt;"",'Device Cables'!H322,"")</f>
        <v/>
      </c>
      <c r="B319" s="2" t="str">
        <f>IF('Device Cables'!I322&lt;&gt;"",'Device Cables'!I322,"")</f>
        <v/>
      </c>
    </row>
    <row r="320" spans="1:2" x14ac:dyDescent="0.2">
      <c r="A320" s="2" t="str">
        <f>IF('Device Cables'!H323&lt;&gt;"",'Device Cables'!H323,"")</f>
        <v/>
      </c>
      <c r="B320" s="2" t="str">
        <f>IF('Device Cables'!I323&lt;&gt;"",'Device Cables'!I323,"")</f>
        <v/>
      </c>
    </row>
    <row r="321" spans="1:2" x14ac:dyDescent="0.2">
      <c r="A321" s="2" t="str">
        <f>IF('Device Cables'!H324&lt;&gt;"",'Device Cables'!H324,"")</f>
        <v/>
      </c>
      <c r="B321" s="2" t="str">
        <f>IF('Device Cables'!I324&lt;&gt;"",'Device Cables'!I324,"")</f>
        <v/>
      </c>
    </row>
    <row r="322" spans="1:2" x14ac:dyDescent="0.2">
      <c r="A322" s="2" t="str">
        <f>IF('Device Cables'!H325&lt;&gt;"",'Device Cables'!H325,"")</f>
        <v/>
      </c>
      <c r="B322" s="2" t="str">
        <f>IF('Device Cables'!I325&lt;&gt;"",'Device Cables'!I325,"")</f>
        <v/>
      </c>
    </row>
    <row r="323" spans="1:2" x14ac:dyDescent="0.2">
      <c r="A323" s="2" t="str">
        <f>IF('Device Cables'!H326&lt;&gt;"",'Device Cables'!H326,"")</f>
        <v/>
      </c>
      <c r="B323" s="2" t="str">
        <f>IF('Device Cables'!I326&lt;&gt;"",'Device Cables'!I326,"")</f>
        <v/>
      </c>
    </row>
    <row r="324" spans="1:2" x14ac:dyDescent="0.2">
      <c r="A324" s="2" t="str">
        <f>IF('Device Cables'!H327&lt;&gt;"",'Device Cables'!H327,"")</f>
        <v/>
      </c>
      <c r="B324" s="2" t="str">
        <f>IF('Device Cables'!I327&lt;&gt;"",'Device Cables'!I327,"")</f>
        <v/>
      </c>
    </row>
    <row r="325" spans="1:2" x14ac:dyDescent="0.2">
      <c r="A325" s="2" t="str">
        <f>IF('Device Cables'!H328&lt;&gt;"",'Device Cables'!H328,"")</f>
        <v/>
      </c>
      <c r="B325" s="2" t="str">
        <f>IF('Device Cables'!I328&lt;&gt;"",'Device Cables'!I328,"")</f>
        <v/>
      </c>
    </row>
    <row r="326" spans="1:2" x14ac:dyDescent="0.2">
      <c r="A326" s="2" t="str">
        <f>IF('Device Cables'!H329&lt;&gt;"",'Device Cables'!H329,"")</f>
        <v/>
      </c>
      <c r="B326" s="2" t="str">
        <f>IF('Device Cables'!I329&lt;&gt;"",'Device Cables'!I329,"")</f>
        <v/>
      </c>
    </row>
    <row r="327" spans="1:2" x14ac:dyDescent="0.2">
      <c r="A327" s="2" t="str">
        <f>IF('Device Cables'!H330&lt;&gt;"",'Device Cables'!H330,"")</f>
        <v/>
      </c>
      <c r="B327" s="2" t="str">
        <f>IF('Device Cables'!I330&lt;&gt;"",'Device Cables'!I330,"")</f>
        <v/>
      </c>
    </row>
    <row r="328" spans="1:2" x14ac:dyDescent="0.2">
      <c r="A328" s="2" t="str">
        <f>IF('Device Cables'!H331&lt;&gt;"",'Device Cables'!H331,"")</f>
        <v/>
      </c>
      <c r="B328" s="2" t="str">
        <f>IF('Device Cables'!I331&lt;&gt;"",'Device Cables'!I331,"")</f>
        <v/>
      </c>
    </row>
    <row r="329" spans="1:2" x14ac:dyDescent="0.2">
      <c r="A329" s="2" t="str">
        <f>IF('Device Cables'!H332&lt;&gt;"",'Device Cables'!H332,"")</f>
        <v/>
      </c>
      <c r="B329" s="2" t="str">
        <f>IF('Device Cables'!I332&lt;&gt;"",'Device Cables'!I332,"")</f>
        <v/>
      </c>
    </row>
    <row r="330" spans="1:2" x14ac:dyDescent="0.2">
      <c r="A330" s="2" t="str">
        <f>IF('Device Cables'!H333&lt;&gt;"",'Device Cables'!H333,"")</f>
        <v/>
      </c>
      <c r="B330" s="2" t="str">
        <f>IF('Device Cables'!I333&lt;&gt;"",'Device Cables'!I333,"")</f>
        <v/>
      </c>
    </row>
    <row r="331" spans="1:2" x14ac:dyDescent="0.2">
      <c r="A331" s="2" t="str">
        <f>IF('Device Cables'!H334&lt;&gt;"",'Device Cables'!H334,"")</f>
        <v/>
      </c>
      <c r="B331" s="2" t="str">
        <f>IF('Device Cables'!I334&lt;&gt;"",'Device Cables'!I334,"")</f>
        <v/>
      </c>
    </row>
    <row r="332" spans="1:2" x14ac:dyDescent="0.2">
      <c r="A332" s="2" t="str">
        <f>IF('Device Cables'!H335&lt;&gt;"",'Device Cables'!H335,"")</f>
        <v/>
      </c>
      <c r="B332" s="2" t="str">
        <f>IF('Device Cables'!I335&lt;&gt;"",'Device Cables'!I335,"")</f>
        <v/>
      </c>
    </row>
    <row r="333" spans="1:2" x14ac:dyDescent="0.2">
      <c r="A333" s="2" t="str">
        <f>IF('Device Cables'!H336&lt;&gt;"",'Device Cables'!H336,"")</f>
        <v/>
      </c>
      <c r="B333" s="2" t="str">
        <f>IF('Device Cables'!I336&lt;&gt;"",'Device Cables'!I336,"")</f>
        <v/>
      </c>
    </row>
    <row r="334" spans="1:2" x14ac:dyDescent="0.2">
      <c r="A334" s="2" t="str">
        <f>IF('Device Cables'!H337&lt;&gt;"",'Device Cables'!H337,"")</f>
        <v/>
      </c>
      <c r="B334" s="2" t="str">
        <f>IF('Device Cables'!I337&lt;&gt;"",'Device Cables'!I337,"")</f>
        <v/>
      </c>
    </row>
    <row r="335" spans="1:2" x14ac:dyDescent="0.2">
      <c r="A335" s="2" t="str">
        <f>IF('Device Cables'!H338&lt;&gt;"",'Device Cables'!H338,"")</f>
        <v/>
      </c>
      <c r="B335" s="2" t="str">
        <f>IF('Device Cables'!I338&lt;&gt;"",'Device Cables'!I338,"")</f>
        <v/>
      </c>
    </row>
    <row r="336" spans="1:2" x14ac:dyDescent="0.2">
      <c r="A336" s="2" t="str">
        <f>IF('Device Cables'!H339&lt;&gt;"",'Device Cables'!H339,"")</f>
        <v/>
      </c>
      <c r="B336" s="2" t="str">
        <f>IF('Device Cables'!I339&lt;&gt;"",'Device Cables'!I339,"")</f>
        <v/>
      </c>
    </row>
    <row r="337" spans="1:2" x14ac:dyDescent="0.2">
      <c r="A337" s="2" t="str">
        <f>IF('Device Cables'!H340&lt;&gt;"",'Device Cables'!H340,"")</f>
        <v/>
      </c>
      <c r="B337" s="2" t="str">
        <f>IF('Device Cables'!I340&lt;&gt;"",'Device Cables'!I340,"")</f>
        <v/>
      </c>
    </row>
    <row r="338" spans="1:2" x14ac:dyDescent="0.2">
      <c r="A338" s="2" t="str">
        <f>IF('Device Cables'!H341&lt;&gt;"",'Device Cables'!H341,"")</f>
        <v/>
      </c>
      <c r="B338" s="2" t="str">
        <f>IF('Device Cables'!I341&lt;&gt;"",'Device Cables'!I341,"")</f>
        <v/>
      </c>
    </row>
    <row r="339" spans="1:2" x14ac:dyDescent="0.2">
      <c r="A339" s="2" t="str">
        <f>IF('Device Cables'!H342&lt;&gt;"",'Device Cables'!H342,"")</f>
        <v/>
      </c>
      <c r="B339" s="2" t="str">
        <f>IF('Device Cables'!I342&lt;&gt;"",'Device Cables'!I342,"")</f>
        <v/>
      </c>
    </row>
    <row r="340" spans="1:2" x14ac:dyDescent="0.2">
      <c r="A340" s="2" t="str">
        <f>IF('Device Cables'!H343&lt;&gt;"",'Device Cables'!H343,"")</f>
        <v/>
      </c>
      <c r="B340" s="2" t="str">
        <f>IF('Device Cables'!I343&lt;&gt;"",'Device Cables'!I343,"")</f>
        <v/>
      </c>
    </row>
    <row r="341" spans="1:2" x14ac:dyDescent="0.2">
      <c r="A341" s="2" t="str">
        <f>IF('Device Cables'!H344&lt;&gt;"",'Device Cables'!H344,"")</f>
        <v/>
      </c>
      <c r="B341" s="2" t="str">
        <f>IF('Device Cables'!I344&lt;&gt;"",'Device Cables'!I344,"")</f>
        <v/>
      </c>
    </row>
    <row r="342" spans="1:2" x14ac:dyDescent="0.2">
      <c r="A342" s="2" t="str">
        <f>IF('Device Cables'!H345&lt;&gt;"",'Device Cables'!H345,"")</f>
        <v/>
      </c>
      <c r="B342" s="2" t="str">
        <f>IF('Device Cables'!I345&lt;&gt;"",'Device Cables'!I345,"")</f>
        <v/>
      </c>
    </row>
    <row r="343" spans="1:2" x14ac:dyDescent="0.2">
      <c r="A343" s="2" t="str">
        <f>IF('Device Cables'!H346&lt;&gt;"",'Device Cables'!H346,"")</f>
        <v/>
      </c>
      <c r="B343" s="2" t="str">
        <f>IF('Device Cables'!I346&lt;&gt;"",'Device Cables'!I346,"")</f>
        <v/>
      </c>
    </row>
    <row r="344" spans="1:2" x14ac:dyDescent="0.2">
      <c r="A344" s="2" t="str">
        <f>IF('Device Cables'!H347&lt;&gt;"",'Device Cables'!H347,"")</f>
        <v/>
      </c>
      <c r="B344" s="2" t="str">
        <f>IF('Device Cables'!I347&lt;&gt;"",'Device Cables'!I347,"")</f>
        <v/>
      </c>
    </row>
    <row r="345" spans="1:2" x14ac:dyDescent="0.2">
      <c r="A345" s="2" t="str">
        <f>IF('Device Cables'!H348&lt;&gt;"",'Device Cables'!H348,"")</f>
        <v/>
      </c>
      <c r="B345" s="2" t="str">
        <f>IF('Device Cables'!I348&lt;&gt;"",'Device Cables'!I348,"")</f>
        <v/>
      </c>
    </row>
    <row r="346" spans="1:2" x14ac:dyDescent="0.2">
      <c r="A346" s="2" t="str">
        <f>IF('Device Cables'!H349&lt;&gt;"",'Device Cables'!H349,"")</f>
        <v/>
      </c>
      <c r="B346" s="2" t="str">
        <f>IF('Device Cables'!I349&lt;&gt;"",'Device Cables'!I349,"")</f>
        <v/>
      </c>
    </row>
    <row r="347" spans="1:2" x14ac:dyDescent="0.2">
      <c r="A347" s="2" t="str">
        <f>IF('Device Cables'!H350&lt;&gt;"",'Device Cables'!H350,"")</f>
        <v/>
      </c>
      <c r="B347" s="2" t="str">
        <f>IF('Device Cables'!I350&lt;&gt;"",'Device Cables'!I350,"")</f>
        <v/>
      </c>
    </row>
    <row r="348" spans="1:2" x14ac:dyDescent="0.2">
      <c r="A348" s="2" t="str">
        <f>IF('Device Cables'!H351&lt;&gt;"",'Device Cables'!H351,"")</f>
        <v/>
      </c>
      <c r="B348" s="2" t="str">
        <f>IF('Device Cables'!I351&lt;&gt;"",'Device Cables'!I351,"")</f>
        <v/>
      </c>
    </row>
    <row r="349" spans="1:2" x14ac:dyDescent="0.2">
      <c r="A349" s="2" t="str">
        <f>IF('Device Cables'!H352&lt;&gt;"",'Device Cables'!H352,"")</f>
        <v/>
      </c>
      <c r="B349" s="2" t="str">
        <f>IF('Device Cables'!I352&lt;&gt;"",'Device Cables'!I352,"")</f>
        <v/>
      </c>
    </row>
    <row r="350" spans="1:2" x14ac:dyDescent="0.2">
      <c r="A350" s="2" t="str">
        <f>IF('Device Cables'!H353&lt;&gt;"",'Device Cables'!H353,"")</f>
        <v/>
      </c>
      <c r="B350" s="2" t="str">
        <f>IF('Device Cables'!I353&lt;&gt;"",'Device Cables'!I353,"")</f>
        <v/>
      </c>
    </row>
    <row r="351" spans="1:2" x14ac:dyDescent="0.2">
      <c r="A351" s="2" t="str">
        <f>IF('Device Cables'!H354&lt;&gt;"",'Device Cables'!H354,"")</f>
        <v/>
      </c>
      <c r="B351" s="2" t="str">
        <f>IF('Device Cables'!I354&lt;&gt;"",'Device Cables'!I354,"")</f>
        <v/>
      </c>
    </row>
    <row r="352" spans="1:2" x14ac:dyDescent="0.2">
      <c r="A352" s="2" t="str">
        <f>IF('Device Cables'!H355&lt;&gt;"",'Device Cables'!H355,"")</f>
        <v/>
      </c>
      <c r="B352" s="2" t="str">
        <f>IF('Device Cables'!I355&lt;&gt;"",'Device Cables'!I355,"")</f>
        <v/>
      </c>
    </row>
    <row r="353" spans="1:2" x14ac:dyDescent="0.2">
      <c r="A353" s="2" t="str">
        <f>IF('Device Cables'!H356&lt;&gt;"",'Device Cables'!H356,"")</f>
        <v/>
      </c>
      <c r="B353" s="2" t="str">
        <f>IF('Device Cables'!I356&lt;&gt;"",'Device Cables'!I356,"")</f>
        <v/>
      </c>
    </row>
    <row r="354" spans="1:2" x14ac:dyDescent="0.2">
      <c r="A354" s="2" t="str">
        <f>IF('Device Cables'!H357&lt;&gt;"",'Device Cables'!H357,"")</f>
        <v/>
      </c>
      <c r="B354" s="2" t="str">
        <f>IF('Device Cables'!I357&lt;&gt;"",'Device Cables'!I357,"")</f>
        <v/>
      </c>
    </row>
    <row r="355" spans="1:2" x14ac:dyDescent="0.2">
      <c r="A355" s="2" t="str">
        <f>IF('Device Cables'!H358&lt;&gt;"",'Device Cables'!H358,"")</f>
        <v/>
      </c>
      <c r="B355" s="2" t="str">
        <f>IF('Device Cables'!I358&lt;&gt;"",'Device Cables'!I358,"")</f>
        <v/>
      </c>
    </row>
    <row r="356" spans="1:2" x14ac:dyDescent="0.2">
      <c r="A356" s="2" t="str">
        <f>IF('Device Cables'!H359&lt;&gt;"",'Device Cables'!H359,"")</f>
        <v/>
      </c>
      <c r="B356" s="2" t="str">
        <f>IF('Device Cables'!I359&lt;&gt;"",'Device Cables'!I359,"")</f>
        <v/>
      </c>
    </row>
    <row r="357" spans="1:2" x14ac:dyDescent="0.2">
      <c r="A357" s="2" t="str">
        <f>IF('Device Cables'!H360&lt;&gt;"",'Device Cables'!H360,"")</f>
        <v/>
      </c>
      <c r="B357" s="2" t="str">
        <f>IF('Device Cables'!I360&lt;&gt;"",'Device Cables'!I360,"")</f>
        <v/>
      </c>
    </row>
    <row r="358" spans="1:2" x14ac:dyDescent="0.2">
      <c r="A358" s="2" t="str">
        <f>IF('Device Cables'!H361&lt;&gt;"",'Device Cables'!H361,"")</f>
        <v/>
      </c>
      <c r="B358" s="2" t="str">
        <f>IF('Device Cables'!I361&lt;&gt;"",'Device Cables'!I361,"")</f>
        <v/>
      </c>
    </row>
    <row r="359" spans="1:2" x14ac:dyDescent="0.2">
      <c r="A359" s="2" t="str">
        <f>IF('Device Cables'!H362&lt;&gt;"",'Device Cables'!H362,"")</f>
        <v/>
      </c>
      <c r="B359" s="2" t="str">
        <f>IF('Device Cables'!I362&lt;&gt;"",'Device Cables'!I362,"")</f>
        <v/>
      </c>
    </row>
    <row r="360" spans="1:2" x14ac:dyDescent="0.2">
      <c r="A360" s="2" t="str">
        <f>IF('Device Cables'!H363&lt;&gt;"",'Device Cables'!H363,"")</f>
        <v/>
      </c>
      <c r="B360" s="2" t="str">
        <f>IF('Device Cables'!I363&lt;&gt;"",'Device Cables'!I363,"")</f>
        <v/>
      </c>
    </row>
    <row r="361" spans="1:2" x14ac:dyDescent="0.2">
      <c r="A361" s="2" t="str">
        <f>IF('Device Cables'!H364&lt;&gt;"",'Device Cables'!H364,"")</f>
        <v/>
      </c>
      <c r="B361" s="2" t="str">
        <f>IF('Device Cables'!I364&lt;&gt;"",'Device Cables'!I364,"")</f>
        <v/>
      </c>
    </row>
    <row r="362" spans="1:2" x14ac:dyDescent="0.2">
      <c r="A362" s="2" t="str">
        <f>IF('Device Cables'!H365&lt;&gt;"",'Device Cables'!H365,"")</f>
        <v/>
      </c>
      <c r="B362" s="2" t="str">
        <f>IF('Device Cables'!I365&lt;&gt;"",'Device Cables'!I365,"")</f>
        <v/>
      </c>
    </row>
    <row r="363" spans="1:2" x14ac:dyDescent="0.2">
      <c r="A363" s="2" t="str">
        <f>IF('Device Cables'!H366&lt;&gt;"",'Device Cables'!H366,"")</f>
        <v/>
      </c>
      <c r="B363" s="2" t="str">
        <f>IF('Device Cables'!I366&lt;&gt;"",'Device Cables'!I366,"")</f>
        <v/>
      </c>
    </row>
    <row r="364" spans="1:2" x14ac:dyDescent="0.2">
      <c r="A364" s="2" t="str">
        <f>IF('Device Cables'!H367&lt;&gt;"",'Device Cables'!H367,"")</f>
        <v/>
      </c>
      <c r="B364" s="2" t="str">
        <f>IF('Device Cables'!I367&lt;&gt;"",'Device Cables'!I367,"")</f>
        <v/>
      </c>
    </row>
    <row r="365" spans="1:2" x14ac:dyDescent="0.2">
      <c r="A365" s="2" t="str">
        <f>IF('Device Cables'!H368&lt;&gt;"",'Device Cables'!H368,"")</f>
        <v/>
      </c>
      <c r="B365" s="2" t="str">
        <f>IF('Device Cables'!I368&lt;&gt;"",'Device Cables'!I368,"")</f>
        <v/>
      </c>
    </row>
    <row r="366" spans="1:2" x14ac:dyDescent="0.2">
      <c r="A366" s="2" t="str">
        <f>IF('Device Cables'!H369&lt;&gt;"",'Device Cables'!H369,"")</f>
        <v/>
      </c>
      <c r="B366" s="2" t="str">
        <f>IF('Device Cables'!I369&lt;&gt;"",'Device Cables'!I369,"")</f>
        <v/>
      </c>
    </row>
    <row r="367" spans="1:2" x14ac:dyDescent="0.2">
      <c r="A367" s="2" t="str">
        <f>IF('Device Cables'!H370&lt;&gt;"",'Device Cables'!H370,"")</f>
        <v/>
      </c>
      <c r="B367" s="2" t="str">
        <f>IF('Device Cables'!I370&lt;&gt;"",'Device Cables'!I370,"")</f>
        <v/>
      </c>
    </row>
    <row r="368" spans="1:2" x14ac:dyDescent="0.2">
      <c r="A368" s="2" t="str">
        <f>IF('Device Cables'!H371&lt;&gt;"",'Device Cables'!H371,"")</f>
        <v/>
      </c>
      <c r="B368" s="2" t="str">
        <f>IF('Device Cables'!I371&lt;&gt;"",'Device Cables'!I371,"")</f>
        <v/>
      </c>
    </row>
    <row r="369" spans="1:2" x14ac:dyDescent="0.2">
      <c r="A369" s="2" t="str">
        <f>IF('Device Cables'!H372&lt;&gt;"",'Device Cables'!H372,"")</f>
        <v/>
      </c>
      <c r="B369" s="2" t="str">
        <f>IF('Device Cables'!I372&lt;&gt;"",'Device Cables'!I372,"")</f>
        <v/>
      </c>
    </row>
    <row r="370" spans="1:2" x14ac:dyDescent="0.2">
      <c r="A370" s="2" t="str">
        <f>IF('Device Cables'!H373&lt;&gt;"",'Device Cables'!H373,"")</f>
        <v/>
      </c>
      <c r="B370" s="2" t="str">
        <f>IF('Device Cables'!I373&lt;&gt;"",'Device Cables'!I373,"")</f>
        <v/>
      </c>
    </row>
    <row r="371" spans="1:2" x14ac:dyDescent="0.2">
      <c r="A371" s="2" t="str">
        <f>IF('Device Cables'!H374&lt;&gt;"",'Device Cables'!H374,"")</f>
        <v/>
      </c>
      <c r="B371" s="2" t="str">
        <f>IF('Device Cables'!I374&lt;&gt;"",'Device Cables'!I374,"")</f>
        <v/>
      </c>
    </row>
    <row r="372" spans="1:2" x14ac:dyDescent="0.2">
      <c r="A372" s="2" t="str">
        <f>IF('Device Cables'!H375&lt;&gt;"",'Device Cables'!H375,"")</f>
        <v/>
      </c>
      <c r="B372" s="2" t="str">
        <f>IF('Device Cables'!I375&lt;&gt;"",'Device Cables'!I375,"")</f>
        <v/>
      </c>
    </row>
    <row r="373" spans="1:2" x14ac:dyDescent="0.2">
      <c r="A373" s="2" t="str">
        <f>IF('Device Cables'!H376&lt;&gt;"",'Device Cables'!H376,"")</f>
        <v/>
      </c>
      <c r="B373" s="2" t="str">
        <f>IF('Device Cables'!I376&lt;&gt;"",'Device Cables'!I376,"")</f>
        <v/>
      </c>
    </row>
    <row r="374" spans="1:2" x14ac:dyDescent="0.2">
      <c r="A374" s="2" t="str">
        <f>IF('Device Cables'!H377&lt;&gt;"",'Device Cables'!H377,"")</f>
        <v/>
      </c>
      <c r="B374" s="2" t="str">
        <f>IF('Device Cables'!I377&lt;&gt;"",'Device Cables'!I377,"")</f>
        <v/>
      </c>
    </row>
    <row r="375" spans="1:2" x14ac:dyDescent="0.2">
      <c r="A375" s="2" t="str">
        <f>IF('Device Cables'!H378&lt;&gt;"",'Device Cables'!H378,"")</f>
        <v/>
      </c>
      <c r="B375" s="2" t="str">
        <f>IF('Device Cables'!I378&lt;&gt;"",'Device Cables'!I378,"")</f>
        <v/>
      </c>
    </row>
    <row r="376" spans="1:2" x14ac:dyDescent="0.2">
      <c r="A376" s="2" t="str">
        <f>IF('Device Cables'!H379&lt;&gt;"",'Device Cables'!H379,"")</f>
        <v/>
      </c>
      <c r="B376" s="2" t="str">
        <f>IF('Device Cables'!I379&lt;&gt;"",'Device Cables'!I379,"")</f>
        <v/>
      </c>
    </row>
    <row r="377" spans="1:2" x14ac:dyDescent="0.2">
      <c r="A377" s="2" t="str">
        <f>IF('Device Cables'!H380&lt;&gt;"",'Device Cables'!H380,"")</f>
        <v/>
      </c>
      <c r="B377" s="2" t="str">
        <f>IF('Device Cables'!I380&lt;&gt;"",'Device Cables'!I380,"")</f>
        <v/>
      </c>
    </row>
    <row r="378" spans="1:2" x14ac:dyDescent="0.2">
      <c r="A378" s="2" t="str">
        <f>IF('Device Cables'!H381&lt;&gt;"",'Device Cables'!H381,"")</f>
        <v/>
      </c>
      <c r="B378" s="2" t="str">
        <f>IF('Device Cables'!I381&lt;&gt;"",'Device Cables'!I381,"")</f>
        <v/>
      </c>
    </row>
    <row r="379" spans="1:2" x14ac:dyDescent="0.2">
      <c r="A379" s="2" t="str">
        <f>IF('Device Cables'!H382&lt;&gt;"",'Device Cables'!H382,"")</f>
        <v/>
      </c>
      <c r="B379" s="2" t="str">
        <f>IF('Device Cables'!I382&lt;&gt;"",'Device Cables'!I382,"")</f>
        <v/>
      </c>
    </row>
    <row r="380" spans="1:2" x14ac:dyDescent="0.2">
      <c r="A380" s="2" t="str">
        <f>IF('Device Cables'!H383&lt;&gt;"",'Device Cables'!H383,"")</f>
        <v/>
      </c>
      <c r="B380" s="2" t="str">
        <f>IF('Device Cables'!I383&lt;&gt;"",'Device Cables'!I383,"")</f>
        <v/>
      </c>
    </row>
    <row r="381" spans="1:2" x14ac:dyDescent="0.2">
      <c r="A381" s="2" t="str">
        <f>IF('Device Cables'!H384&lt;&gt;"",'Device Cables'!H384,"")</f>
        <v/>
      </c>
      <c r="B381" s="2" t="str">
        <f>IF('Device Cables'!I384&lt;&gt;"",'Device Cables'!I384,"")</f>
        <v/>
      </c>
    </row>
    <row r="382" spans="1:2" x14ac:dyDescent="0.2">
      <c r="A382" s="2" t="str">
        <f>IF('Device Cables'!H385&lt;&gt;"",'Device Cables'!H385,"")</f>
        <v/>
      </c>
      <c r="B382" s="2" t="str">
        <f>IF('Device Cables'!I385&lt;&gt;"",'Device Cables'!I385,"")</f>
        <v/>
      </c>
    </row>
    <row r="383" spans="1:2" x14ac:dyDescent="0.2">
      <c r="A383" s="2" t="str">
        <f>IF('Device Cables'!H386&lt;&gt;"",'Device Cables'!H386,"")</f>
        <v/>
      </c>
      <c r="B383" s="2" t="str">
        <f>IF('Device Cables'!I386&lt;&gt;"",'Device Cables'!I386,"")</f>
        <v/>
      </c>
    </row>
    <row r="384" spans="1:2" x14ac:dyDescent="0.2">
      <c r="A384" s="2" t="str">
        <f>IF('Device Cables'!H387&lt;&gt;"",'Device Cables'!H387,"")</f>
        <v/>
      </c>
      <c r="B384" s="2" t="str">
        <f>IF('Device Cables'!I387&lt;&gt;"",'Device Cables'!I387,"")</f>
        <v/>
      </c>
    </row>
    <row r="385" spans="1:2" x14ac:dyDescent="0.2">
      <c r="A385" s="2" t="str">
        <f>IF('Device Cables'!H388&lt;&gt;"",'Device Cables'!H388,"")</f>
        <v/>
      </c>
      <c r="B385" s="2" t="str">
        <f>IF('Device Cables'!I388&lt;&gt;"",'Device Cables'!I388,"")</f>
        <v/>
      </c>
    </row>
    <row r="386" spans="1:2" x14ac:dyDescent="0.2">
      <c r="A386" s="2" t="str">
        <f>IF('Device Cables'!H389&lt;&gt;"",'Device Cables'!H389,"")</f>
        <v/>
      </c>
      <c r="B386" s="2" t="str">
        <f>IF('Device Cables'!I389&lt;&gt;"",'Device Cables'!I389,"")</f>
        <v/>
      </c>
    </row>
    <row r="387" spans="1:2" x14ac:dyDescent="0.2">
      <c r="A387" s="2" t="str">
        <f>IF('Device Cables'!H390&lt;&gt;"",'Device Cables'!H390,"")</f>
        <v/>
      </c>
      <c r="B387" s="2" t="str">
        <f>IF('Device Cables'!I390&lt;&gt;"",'Device Cables'!I390,"")</f>
        <v/>
      </c>
    </row>
    <row r="388" spans="1:2" x14ac:dyDescent="0.2">
      <c r="A388" s="2" t="str">
        <f>IF('Device Cables'!H391&lt;&gt;"",'Device Cables'!H391,"")</f>
        <v/>
      </c>
      <c r="B388" s="2" t="str">
        <f>IF('Device Cables'!I391&lt;&gt;"",'Device Cables'!I391,"")</f>
        <v/>
      </c>
    </row>
    <row r="389" spans="1:2" x14ac:dyDescent="0.2">
      <c r="A389" s="2" t="str">
        <f>IF('Device Cables'!H392&lt;&gt;"",'Device Cables'!H392,"")</f>
        <v/>
      </c>
      <c r="B389" s="2" t="str">
        <f>IF('Device Cables'!I392&lt;&gt;"",'Device Cables'!I392,"")</f>
        <v/>
      </c>
    </row>
    <row r="390" spans="1:2" x14ac:dyDescent="0.2">
      <c r="A390" s="2" t="str">
        <f>IF('Device Cables'!H393&lt;&gt;"",'Device Cables'!H393,"")</f>
        <v/>
      </c>
      <c r="B390" s="2" t="str">
        <f>IF('Device Cables'!I393&lt;&gt;"",'Device Cables'!I393,"")</f>
        <v/>
      </c>
    </row>
    <row r="391" spans="1:2" x14ac:dyDescent="0.2">
      <c r="A391" s="2" t="str">
        <f>IF('Device Cables'!H394&lt;&gt;"",'Device Cables'!H394,"")</f>
        <v/>
      </c>
      <c r="B391" s="2" t="str">
        <f>IF('Device Cables'!I394&lt;&gt;"",'Device Cables'!I394,"")</f>
        <v/>
      </c>
    </row>
    <row r="392" spans="1:2" x14ac:dyDescent="0.2">
      <c r="A392" s="2" t="str">
        <f>IF('Device Cables'!H395&lt;&gt;"",'Device Cables'!H395,"")</f>
        <v/>
      </c>
      <c r="B392" s="2" t="str">
        <f>IF('Device Cables'!I395&lt;&gt;"",'Device Cables'!I395,"")</f>
        <v/>
      </c>
    </row>
    <row r="393" spans="1:2" x14ac:dyDescent="0.2">
      <c r="A393" s="2" t="str">
        <f>IF('Device Cables'!H396&lt;&gt;"",'Device Cables'!H396,"")</f>
        <v/>
      </c>
      <c r="B393" s="2" t="str">
        <f>IF('Device Cables'!I396&lt;&gt;"",'Device Cables'!I396,"")</f>
        <v/>
      </c>
    </row>
    <row r="394" spans="1:2" x14ac:dyDescent="0.2">
      <c r="A394" s="2" t="str">
        <f>IF('Device Cables'!H397&lt;&gt;"",'Device Cables'!H397,"")</f>
        <v/>
      </c>
      <c r="B394" s="2" t="str">
        <f>IF('Device Cables'!I397&lt;&gt;"",'Device Cables'!I397,"")</f>
        <v/>
      </c>
    </row>
    <row r="395" spans="1:2" x14ac:dyDescent="0.2">
      <c r="A395" s="2" t="str">
        <f>IF('Device Cables'!H398&lt;&gt;"",'Device Cables'!H398,"")</f>
        <v/>
      </c>
      <c r="B395" s="2" t="str">
        <f>IF('Device Cables'!I398&lt;&gt;"",'Device Cables'!I398,"")</f>
        <v/>
      </c>
    </row>
    <row r="396" spans="1:2" x14ac:dyDescent="0.2">
      <c r="A396" s="2" t="str">
        <f>IF('Device Cables'!H399&lt;&gt;"",'Device Cables'!H399,"")</f>
        <v/>
      </c>
      <c r="B396" s="2" t="str">
        <f>IF('Device Cables'!I399&lt;&gt;"",'Device Cables'!I399,"")</f>
        <v/>
      </c>
    </row>
    <row r="397" spans="1:2" x14ac:dyDescent="0.2">
      <c r="A397" s="2" t="str">
        <f>IF('Device Cables'!H400&lt;&gt;"",'Device Cables'!H400,"")</f>
        <v/>
      </c>
      <c r="B397" s="2" t="str">
        <f>IF('Device Cables'!I400&lt;&gt;"",'Device Cables'!I400,"")</f>
        <v/>
      </c>
    </row>
    <row r="398" spans="1:2" x14ac:dyDescent="0.2">
      <c r="A398" s="2" t="str">
        <f>IF('Device Cables'!H401&lt;&gt;"",'Device Cables'!H401,"")</f>
        <v/>
      </c>
      <c r="B398" s="2" t="str">
        <f>IF('Device Cables'!I401&lt;&gt;"",'Device Cables'!I401,"")</f>
        <v/>
      </c>
    </row>
    <row r="399" spans="1:2" x14ac:dyDescent="0.2">
      <c r="A399" s="2" t="str">
        <f>IF('Device Cables'!H402&lt;&gt;"",'Device Cables'!H402,"")</f>
        <v/>
      </c>
      <c r="B399" s="2" t="str">
        <f>IF('Device Cables'!I402&lt;&gt;"",'Device Cables'!I402,"")</f>
        <v/>
      </c>
    </row>
    <row r="400" spans="1:2" x14ac:dyDescent="0.2">
      <c r="A400" s="2" t="str">
        <f>IF('Device Cables'!H403&lt;&gt;"",'Device Cables'!H403,"")</f>
        <v/>
      </c>
      <c r="B400" s="2" t="str">
        <f>IF('Device Cables'!I403&lt;&gt;"",'Device Cables'!I403,"")</f>
        <v/>
      </c>
    </row>
    <row r="401" spans="1:2" x14ac:dyDescent="0.2">
      <c r="A401" s="2" t="str">
        <f>IF('Device Cables'!H404&lt;&gt;"",'Device Cables'!H404,"")</f>
        <v/>
      </c>
      <c r="B401" s="2" t="str">
        <f>IF('Device Cables'!I404&lt;&gt;"",'Device Cables'!I404,"")</f>
        <v/>
      </c>
    </row>
    <row r="402" spans="1:2" x14ac:dyDescent="0.2">
      <c r="A402" s="2" t="str">
        <f>IF('Device Cables'!H405&lt;&gt;"",'Device Cables'!H405,"")</f>
        <v/>
      </c>
      <c r="B402" s="2" t="str">
        <f>IF('Device Cables'!I405&lt;&gt;"",'Device Cables'!I405,"")</f>
        <v/>
      </c>
    </row>
    <row r="403" spans="1:2" x14ac:dyDescent="0.2">
      <c r="A403" s="2" t="str">
        <f>IF('Device Cables'!H406&lt;&gt;"",'Device Cables'!H406,"")</f>
        <v/>
      </c>
      <c r="B403" s="2" t="str">
        <f>IF('Device Cables'!I406&lt;&gt;"",'Device Cables'!I406,"")</f>
        <v/>
      </c>
    </row>
    <row r="404" spans="1:2" x14ac:dyDescent="0.2">
      <c r="A404" s="2" t="str">
        <f>IF('Device Cables'!H407&lt;&gt;"",'Device Cables'!H407,"")</f>
        <v/>
      </c>
      <c r="B404" s="2" t="str">
        <f>IF('Device Cables'!I407&lt;&gt;"",'Device Cables'!I407,"")</f>
        <v/>
      </c>
    </row>
    <row r="405" spans="1:2" x14ac:dyDescent="0.2">
      <c r="A405" s="2" t="str">
        <f>IF('Device Cables'!H408&lt;&gt;"",'Device Cables'!H408,"")</f>
        <v/>
      </c>
      <c r="B405" s="2" t="str">
        <f>IF('Device Cables'!I408&lt;&gt;"",'Device Cables'!I408,"")</f>
        <v/>
      </c>
    </row>
    <row r="406" spans="1:2" x14ac:dyDescent="0.2">
      <c r="A406" s="2" t="str">
        <f>IF('Device Cables'!H409&lt;&gt;"",'Device Cables'!H409,"")</f>
        <v/>
      </c>
      <c r="B406" s="2" t="str">
        <f>IF('Device Cables'!I409&lt;&gt;"",'Device Cables'!I409,"")</f>
        <v/>
      </c>
    </row>
    <row r="407" spans="1:2" x14ac:dyDescent="0.2">
      <c r="A407" s="2" t="str">
        <f>IF('Device Cables'!H410&lt;&gt;"",'Device Cables'!H410,"")</f>
        <v/>
      </c>
      <c r="B407" s="2" t="str">
        <f>IF('Device Cables'!I410&lt;&gt;"",'Device Cables'!I410,"")</f>
        <v/>
      </c>
    </row>
    <row r="408" spans="1:2" x14ac:dyDescent="0.2">
      <c r="A408" s="2" t="str">
        <f>IF('Device Cables'!H411&lt;&gt;"",'Device Cables'!H411,"")</f>
        <v/>
      </c>
      <c r="B408" s="2" t="str">
        <f>IF('Device Cables'!I411&lt;&gt;"",'Device Cables'!I411,"")</f>
        <v/>
      </c>
    </row>
    <row r="409" spans="1:2" x14ac:dyDescent="0.2">
      <c r="A409" s="2" t="str">
        <f>IF('Device Cables'!H412&lt;&gt;"",'Device Cables'!H412,"")</f>
        <v/>
      </c>
      <c r="B409" s="2" t="str">
        <f>IF('Device Cables'!I412&lt;&gt;"",'Device Cables'!I412,"")</f>
        <v/>
      </c>
    </row>
    <row r="410" spans="1:2" x14ac:dyDescent="0.2">
      <c r="A410" s="2" t="str">
        <f>IF('Device Cables'!H413&lt;&gt;"",'Device Cables'!H413,"")</f>
        <v/>
      </c>
      <c r="B410" s="2" t="str">
        <f>IF('Device Cables'!I413&lt;&gt;"",'Device Cables'!I413,"")</f>
        <v/>
      </c>
    </row>
    <row r="411" spans="1:2" x14ac:dyDescent="0.2">
      <c r="A411" s="2" t="str">
        <f>IF('Device Cables'!H414&lt;&gt;"",'Device Cables'!H414,"")</f>
        <v/>
      </c>
      <c r="B411" s="2" t="str">
        <f>IF('Device Cables'!I414&lt;&gt;"",'Device Cables'!I414,"")</f>
        <v/>
      </c>
    </row>
    <row r="412" spans="1:2" x14ac:dyDescent="0.2">
      <c r="A412" s="2" t="str">
        <f>IF('Device Cables'!H415&lt;&gt;"",'Device Cables'!H415,"")</f>
        <v/>
      </c>
      <c r="B412" s="2" t="str">
        <f>IF('Device Cables'!I415&lt;&gt;"",'Device Cables'!I415,"")</f>
        <v/>
      </c>
    </row>
    <row r="413" spans="1:2" x14ac:dyDescent="0.2">
      <c r="A413" s="2" t="str">
        <f>IF('Device Cables'!H416&lt;&gt;"",'Device Cables'!H416,"")</f>
        <v/>
      </c>
      <c r="B413" s="2" t="str">
        <f>IF('Device Cables'!I416&lt;&gt;"",'Device Cables'!I416,"")</f>
        <v/>
      </c>
    </row>
    <row r="414" spans="1:2" x14ac:dyDescent="0.2">
      <c r="A414" s="2" t="str">
        <f>IF('Device Cables'!H417&lt;&gt;"",'Device Cables'!H417,"")</f>
        <v/>
      </c>
      <c r="B414" s="2" t="str">
        <f>IF('Device Cables'!I417&lt;&gt;"",'Device Cables'!I417,"")</f>
        <v/>
      </c>
    </row>
    <row r="415" spans="1:2" x14ac:dyDescent="0.2">
      <c r="A415" s="2" t="str">
        <f>IF('Device Cables'!H418&lt;&gt;"",'Device Cables'!H418,"")</f>
        <v/>
      </c>
      <c r="B415" s="2" t="str">
        <f>IF('Device Cables'!I418&lt;&gt;"",'Device Cables'!I418,"")</f>
        <v/>
      </c>
    </row>
    <row r="416" spans="1:2" x14ac:dyDescent="0.2">
      <c r="A416" s="2" t="str">
        <f>IF('Device Cables'!H419&lt;&gt;"",'Device Cables'!H419,"")</f>
        <v/>
      </c>
      <c r="B416" s="2" t="str">
        <f>IF('Device Cables'!I419&lt;&gt;"",'Device Cables'!I419,"")</f>
        <v/>
      </c>
    </row>
    <row r="417" spans="1:2" x14ac:dyDescent="0.2">
      <c r="A417" s="2" t="str">
        <f>IF('Device Cables'!H420&lt;&gt;"",'Device Cables'!H420,"")</f>
        <v/>
      </c>
      <c r="B417" s="2" t="str">
        <f>IF('Device Cables'!I420&lt;&gt;"",'Device Cables'!I420,"")</f>
        <v/>
      </c>
    </row>
    <row r="418" spans="1:2" x14ac:dyDescent="0.2">
      <c r="A418" s="2" t="str">
        <f>IF('Device Cables'!H421&lt;&gt;"",'Device Cables'!H421,"")</f>
        <v/>
      </c>
      <c r="B418" s="2" t="str">
        <f>IF('Device Cables'!I421&lt;&gt;"",'Device Cables'!I421,"")</f>
        <v/>
      </c>
    </row>
    <row r="419" spans="1:2" x14ac:dyDescent="0.2">
      <c r="A419" s="2" t="str">
        <f>IF('Device Cables'!H422&lt;&gt;"",'Device Cables'!H422,"")</f>
        <v/>
      </c>
      <c r="B419" s="2" t="str">
        <f>IF('Device Cables'!I422&lt;&gt;"",'Device Cables'!I422,"")</f>
        <v/>
      </c>
    </row>
    <row r="420" spans="1:2" x14ac:dyDescent="0.2">
      <c r="A420" s="2" t="str">
        <f>IF('Device Cables'!H423&lt;&gt;"",'Device Cables'!H423,"")</f>
        <v/>
      </c>
      <c r="B420" s="2" t="str">
        <f>IF('Device Cables'!I423&lt;&gt;"",'Device Cables'!I423,"")</f>
        <v/>
      </c>
    </row>
    <row r="421" spans="1:2" x14ac:dyDescent="0.2">
      <c r="A421" s="2" t="str">
        <f>IF('Device Cables'!H424&lt;&gt;"",'Device Cables'!H424,"")</f>
        <v/>
      </c>
      <c r="B421" s="2" t="str">
        <f>IF('Device Cables'!I424&lt;&gt;"",'Device Cables'!I424,"")</f>
        <v/>
      </c>
    </row>
    <row r="422" spans="1:2" x14ac:dyDescent="0.2">
      <c r="A422" s="2" t="str">
        <f>IF('Device Cables'!H425&lt;&gt;"",'Device Cables'!H425,"")</f>
        <v/>
      </c>
      <c r="B422" s="2" t="str">
        <f>IF('Device Cables'!I425&lt;&gt;"",'Device Cables'!I425,"")</f>
        <v/>
      </c>
    </row>
    <row r="423" spans="1:2" x14ac:dyDescent="0.2">
      <c r="A423" s="2" t="str">
        <f>IF('Device Cables'!H426&lt;&gt;"",'Device Cables'!H426,"")</f>
        <v/>
      </c>
      <c r="B423" s="2" t="str">
        <f>IF('Device Cables'!I426&lt;&gt;"",'Device Cables'!I426,"")</f>
        <v/>
      </c>
    </row>
    <row r="424" spans="1:2" x14ac:dyDescent="0.2">
      <c r="A424" s="2" t="str">
        <f>IF('Device Cables'!H427&lt;&gt;"",'Device Cables'!H427,"")</f>
        <v/>
      </c>
      <c r="B424" s="2" t="str">
        <f>IF('Device Cables'!I427&lt;&gt;"",'Device Cables'!I427,"")</f>
        <v/>
      </c>
    </row>
    <row r="425" spans="1:2" x14ac:dyDescent="0.2">
      <c r="A425" s="2" t="str">
        <f>IF('Device Cables'!H428&lt;&gt;"",'Device Cables'!H428,"")</f>
        <v/>
      </c>
      <c r="B425" s="2" t="str">
        <f>IF('Device Cables'!I428&lt;&gt;"",'Device Cables'!I428,"")</f>
        <v/>
      </c>
    </row>
    <row r="426" spans="1:2" x14ac:dyDescent="0.2">
      <c r="A426" s="2" t="str">
        <f>IF('Device Cables'!H429&lt;&gt;"",'Device Cables'!H429,"")</f>
        <v/>
      </c>
      <c r="B426" s="2" t="str">
        <f>IF('Device Cables'!I429&lt;&gt;"",'Device Cables'!I429,"")</f>
        <v/>
      </c>
    </row>
    <row r="427" spans="1:2" x14ac:dyDescent="0.2">
      <c r="A427" s="2" t="str">
        <f>IF('Device Cables'!H430&lt;&gt;"",'Device Cables'!H430,"")</f>
        <v/>
      </c>
      <c r="B427" s="2" t="str">
        <f>IF('Device Cables'!I430&lt;&gt;"",'Device Cables'!I430,"")</f>
        <v/>
      </c>
    </row>
    <row r="428" spans="1:2" x14ac:dyDescent="0.2">
      <c r="A428" s="2" t="str">
        <f>IF('Device Cables'!H431&lt;&gt;"",'Device Cables'!H431,"")</f>
        <v/>
      </c>
      <c r="B428" s="2" t="str">
        <f>IF('Device Cables'!I431&lt;&gt;"",'Device Cables'!I431,"")</f>
        <v/>
      </c>
    </row>
    <row r="429" spans="1:2" x14ac:dyDescent="0.2">
      <c r="A429" s="2" t="str">
        <f>IF('Device Cables'!H432&lt;&gt;"",'Device Cables'!H432,"")</f>
        <v/>
      </c>
      <c r="B429" s="2" t="str">
        <f>IF('Device Cables'!I432&lt;&gt;"",'Device Cables'!I432,"")</f>
        <v/>
      </c>
    </row>
    <row r="430" spans="1:2" x14ac:dyDescent="0.2">
      <c r="A430" s="2" t="str">
        <f>IF('Device Cables'!H433&lt;&gt;"",'Device Cables'!H433,"")</f>
        <v/>
      </c>
      <c r="B430" s="2" t="str">
        <f>IF('Device Cables'!I433&lt;&gt;"",'Device Cables'!I433,"")</f>
        <v/>
      </c>
    </row>
    <row r="431" spans="1:2" x14ac:dyDescent="0.2">
      <c r="A431" s="2" t="str">
        <f>IF('Device Cables'!H434&lt;&gt;"",'Device Cables'!H434,"")</f>
        <v/>
      </c>
      <c r="B431" s="2" t="str">
        <f>IF('Device Cables'!I434&lt;&gt;"",'Device Cables'!I434,"")</f>
        <v/>
      </c>
    </row>
    <row r="432" spans="1:2" x14ac:dyDescent="0.2">
      <c r="A432" s="2" t="str">
        <f>IF('Device Cables'!H435&lt;&gt;"",'Device Cables'!H435,"")</f>
        <v/>
      </c>
      <c r="B432" s="2" t="str">
        <f>IF('Device Cables'!I435&lt;&gt;"",'Device Cables'!I435,"")</f>
        <v/>
      </c>
    </row>
    <row r="433" spans="1:2" x14ac:dyDescent="0.2">
      <c r="A433" s="2" t="str">
        <f>IF('Device Cables'!H436&lt;&gt;"",'Device Cables'!H436,"")</f>
        <v/>
      </c>
      <c r="B433" s="2" t="str">
        <f>IF('Device Cables'!I436&lt;&gt;"",'Device Cables'!I436,"")</f>
        <v/>
      </c>
    </row>
    <row r="434" spans="1:2" x14ac:dyDescent="0.2">
      <c r="A434" s="2" t="str">
        <f>IF('Device Cables'!H437&lt;&gt;"",'Device Cables'!H437,"")</f>
        <v/>
      </c>
      <c r="B434" s="2" t="str">
        <f>IF('Device Cables'!I437&lt;&gt;"",'Device Cables'!I437,"")</f>
        <v/>
      </c>
    </row>
    <row r="435" spans="1:2" x14ac:dyDescent="0.2">
      <c r="A435" s="2" t="str">
        <f>IF('Device Cables'!H438&lt;&gt;"",'Device Cables'!H438,"")</f>
        <v/>
      </c>
      <c r="B435" s="2" t="str">
        <f>IF('Device Cables'!I438&lt;&gt;"",'Device Cables'!I438,"")</f>
        <v/>
      </c>
    </row>
    <row r="436" spans="1:2" x14ac:dyDescent="0.2">
      <c r="A436" s="2" t="str">
        <f>IF('Device Cables'!H439&lt;&gt;"",'Device Cables'!H439,"")</f>
        <v/>
      </c>
      <c r="B436" s="2" t="str">
        <f>IF('Device Cables'!I439&lt;&gt;"",'Device Cables'!I439,"")</f>
        <v/>
      </c>
    </row>
    <row r="437" spans="1:2" x14ac:dyDescent="0.2">
      <c r="A437" s="2" t="str">
        <f>IF('Device Cables'!H440&lt;&gt;"",'Device Cables'!H440,"")</f>
        <v/>
      </c>
      <c r="B437" s="2" t="str">
        <f>IF('Device Cables'!I440&lt;&gt;"",'Device Cables'!I440,"")</f>
        <v/>
      </c>
    </row>
    <row r="438" spans="1:2" x14ac:dyDescent="0.2">
      <c r="A438" s="2" t="str">
        <f>IF('Device Cables'!H441&lt;&gt;"",'Device Cables'!H441,"")</f>
        <v/>
      </c>
      <c r="B438" s="2" t="str">
        <f>IF('Device Cables'!I441&lt;&gt;"",'Device Cables'!I441,"")</f>
        <v/>
      </c>
    </row>
    <row r="439" spans="1:2" x14ac:dyDescent="0.2">
      <c r="A439" s="2" t="str">
        <f>IF('Device Cables'!H442&lt;&gt;"",'Device Cables'!H442,"")</f>
        <v/>
      </c>
      <c r="B439" s="2" t="str">
        <f>IF('Device Cables'!I442&lt;&gt;"",'Device Cables'!I442,"")</f>
        <v/>
      </c>
    </row>
    <row r="440" spans="1:2" x14ac:dyDescent="0.2">
      <c r="A440" s="2" t="str">
        <f>IF('Device Cables'!H443&lt;&gt;"",'Device Cables'!H443,"")</f>
        <v/>
      </c>
      <c r="B440" s="2" t="str">
        <f>IF('Device Cables'!I443&lt;&gt;"",'Device Cables'!I443,"")</f>
        <v/>
      </c>
    </row>
    <row r="441" spans="1:2" x14ac:dyDescent="0.2">
      <c r="A441" s="2" t="str">
        <f>IF('Device Cables'!H444&lt;&gt;"",'Device Cables'!H444,"")</f>
        <v/>
      </c>
      <c r="B441" s="2" t="str">
        <f>IF('Device Cables'!I444&lt;&gt;"",'Device Cables'!I444,"")</f>
        <v/>
      </c>
    </row>
    <row r="442" spans="1:2" x14ac:dyDescent="0.2">
      <c r="A442" s="2" t="str">
        <f>IF('Device Cables'!H445&lt;&gt;"",'Device Cables'!H445,"")</f>
        <v/>
      </c>
      <c r="B442" s="2" t="str">
        <f>IF('Device Cables'!I445&lt;&gt;"",'Device Cables'!I445,"")</f>
        <v/>
      </c>
    </row>
    <row r="443" spans="1:2" x14ac:dyDescent="0.2">
      <c r="A443" s="2" t="str">
        <f>IF('Device Cables'!H446&lt;&gt;"",'Device Cables'!H446,"")</f>
        <v/>
      </c>
      <c r="B443" s="2" t="str">
        <f>IF('Device Cables'!I446&lt;&gt;"",'Device Cables'!I446,"")</f>
        <v/>
      </c>
    </row>
    <row r="444" spans="1:2" x14ac:dyDescent="0.2">
      <c r="A444" s="2" t="str">
        <f>IF('Device Cables'!H447&lt;&gt;"",'Device Cables'!H447,"")</f>
        <v/>
      </c>
      <c r="B444" s="2" t="str">
        <f>IF('Device Cables'!I447&lt;&gt;"",'Device Cables'!I447,"")</f>
        <v/>
      </c>
    </row>
    <row r="445" spans="1:2" x14ac:dyDescent="0.2">
      <c r="A445" s="2" t="str">
        <f>IF('Device Cables'!H448&lt;&gt;"",'Device Cables'!H448,"")</f>
        <v/>
      </c>
      <c r="B445" s="2" t="str">
        <f>IF('Device Cables'!I448&lt;&gt;"",'Device Cables'!I448,"")</f>
        <v/>
      </c>
    </row>
    <row r="446" spans="1:2" x14ac:dyDescent="0.2">
      <c r="A446" s="2" t="str">
        <f>IF('Device Cables'!H449&lt;&gt;"",'Device Cables'!H449,"")</f>
        <v/>
      </c>
      <c r="B446" s="2" t="str">
        <f>IF('Device Cables'!I449&lt;&gt;"",'Device Cables'!I449,"")</f>
        <v/>
      </c>
    </row>
    <row r="447" spans="1:2" x14ac:dyDescent="0.2">
      <c r="A447" s="2" t="str">
        <f>IF('Device Cables'!H450&lt;&gt;"",'Device Cables'!H450,"")</f>
        <v/>
      </c>
      <c r="B447" s="2" t="str">
        <f>IF('Device Cables'!I450&lt;&gt;"",'Device Cables'!I450,"")</f>
        <v/>
      </c>
    </row>
    <row r="448" spans="1:2" x14ac:dyDescent="0.2">
      <c r="A448" s="2" t="str">
        <f>IF('Device Cables'!H451&lt;&gt;"",'Device Cables'!H451,"")</f>
        <v/>
      </c>
      <c r="B448" s="2" t="str">
        <f>IF('Device Cables'!I451&lt;&gt;"",'Device Cables'!I451,"")</f>
        <v/>
      </c>
    </row>
    <row r="449" spans="1:2" x14ac:dyDescent="0.2">
      <c r="A449" s="2" t="str">
        <f>IF('Device Cables'!H452&lt;&gt;"",'Device Cables'!H452,"")</f>
        <v/>
      </c>
      <c r="B449" s="2" t="str">
        <f>IF('Device Cables'!I452&lt;&gt;"",'Device Cables'!I452,"")</f>
        <v/>
      </c>
    </row>
    <row r="450" spans="1:2" x14ac:dyDescent="0.2">
      <c r="A450" s="2" t="str">
        <f>IF('Device Cables'!H453&lt;&gt;"",'Device Cables'!H453,"")</f>
        <v/>
      </c>
      <c r="B450" s="2" t="str">
        <f>IF('Device Cables'!I453&lt;&gt;"",'Device Cables'!I453,"")</f>
        <v/>
      </c>
    </row>
    <row r="451" spans="1:2" x14ac:dyDescent="0.2">
      <c r="A451" s="2" t="str">
        <f>IF('Device Cables'!H454&lt;&gt;"",'Device Cables'!H454,"")</f>
        <v/>
      </c>
      <c r="B451" s="2" t="str">
        <f>IF('Device Cables'!I454&lt;&gt;"",'Device Cables'!I454,"")</f>
        <v/>
      </c>
    </row>
    <row r="452" spans="1:2" x14ac:dyDescent="0.2">
      <c r="A452" s="2" t="str">
        <f>IF('Device Cables'!H455&lt;&gt;"",'Device Cables'!H455,"")</f>
        <v/>
      </c>
      <c r="B452" s="2" t="str">
        <f>IF('Device Cables'!I455&lt;&gt;"",'Device Cables'!I455,"")</f>
        <v/>
      </c>
    </row>
    <row r="453" spans="1:2" x14ac:dyDescent="0.2">
      <c r="A453" s="2" t="str">
        <f>IF('Device Cables'!H456&lt;&gt;"",'Device Cables'!H456,"")</f>
        <v/>
      </c>
      <c r="B453" s="2" t="str">
        <f>IF('Device Cables'!I456&lt;&gt;"",'Device Cables'!I456,"")</f>
        <v/>
      </c>
    </row>
    <row r="454" spans="1:2" x14ac:dyDescent="0.2">
      <c r="A454" s="2" t="str">
        <f>IF('Device Cables'!H457&lt;&gt;"",'Device Cables'!H457,"")</f>
        <v/>
      </c>
      <c r="B454" s="2" t="str">
        <f>IF('Device Cables'!I457&lt;&gt;"",'Device Cables'!I457,"")</f>
        <v/>
      </c>
    </row>
    <row r="455" spans="1:2" x14ac:dyDescent="0.2">
      <c r="A455" s="2" t="str">
        <f>IF('Device Cables'!H458&lt;&gt;"",'Device Cables'!H458,"")</f>
        <v/>
      </c>
      <c r="B455" s="2" t="str">
        <f>IF('Device Cables'!I458&lt;&gt;"",'Device Cables'!I458,"")</f>
        <v/>
      </c>
    </row>
    <row r="456" spans="1:2" x14ac:dyDescent="0.2">
      <c r="A456" s="2" t="str">
        <f>IF('Device Cables'!H459&lt;&gt;"",'Device Cables'!H459,"")</f>
        <v/>
      </c>
      <c r="B456" s="2" t="str">
        <f>IF('Device Cables'!I459&lt;&gt;"",'Device Cables'!I459,"")</f>
        <v/>
      </c>
    </row>
    <row r="457" spans="1:2" x14ac:dyDescent="0.2">
      <c r="A457" s="2" t="str">
        <f>IF('Device Cables'!H460&lt;&gt;"",'Device Cables'!H460,"")</f>
        <v/>
      </c>
      <c r="B457" s="2" t="str">
        <f>IF('Device Cables'!I460&lt;&gt;"",'Device Cables'!I460,"")</f>
        <v/>
      </c>
    </row>
    <row r="458" spans="1:2" x14ac:dyDescent="0.2">
      <c r="A458" s="2" t="str">
        <f>IF('Device Cables'!H461&lt;&gt;"",'Device Cables'!H461,"")</f>
        <v/>
      </c>
      <c r="B458" s="2" t="str">
        <f>IF('Device Cables'!I461&lt;&gt;"",'Device Cables'!I461,"")</f>
        <v/>
      </c>
    </row>
    <row r="459" spans="1:2" x14ac:dyDescent="0.2">
      <c r="A459" s="2" t="str">
        <f>IF('Device Cables'!H462&lt;&gt;"",'Device Cables'!H462,"")</f>
        <v/>
      </c>
      <c r="B459" s="2" t="str">
        <f>IF('Device Cables'!I462&lt;&gt;"",'Device Cables'!I462,"")</f>
        <v/>
      </c>
    </row>
    <row r="460" spans="1:2" x14ac:dyDescent="0.2">
      <c r="A460" s="2" t="str">
        <f>IF('Device Cables'!H463&lt;&gt;"",'Device Cables'!H463,"")</f>
        <v/>
      </c>
      <c r="B460" s="2" t="str">
        <f>IF('Device Cables'!I463&lt;&gt;"",'Device Cables'!I463,"")</f>
        <v/>
      </c>
    </row>
    <row r="461" spans="1:2" x14ac:dyDescent="0.2">
      <c r="A461" s="2" t="str">
        <f>IF('Device Cables'!H464&lt;&gt;"",'Device Cables'!H464,"")</f>
        <v/>
      </c>
      <c r="B461" s="2" t="str">
        <f>IF('Device Cables'!I464&lt;&gt;"",'Device Cables'!I464,"")</f>
        <v/>
      </c>
    </row>
    <row r="462" spans="1:2" x14ac:dyDescent="0.2">
      <c r="A462" s="2" t="str">
        <f>IF('Device Cables'!H465&lt;&gt;"",'Device Cables'!H465,"")</f>
        <v/>
      </c>
      <c r="B462" s="2" t="str">
        <f>IF('Device Cables'!I465&lt;&gt;"",'Device Cables'!I465,"")</f>
        <v/>
      </c>
    </row>
    <row r="463" spans="1:2" x14ac:dyDescent="0.2">
      <c r="A463" s="2" t="str">
        <f>IF('Device Cables'!H466&lt;&gt;"",'Device Cables'!H466,"")</f>
        <v/>
      </c>
      <c r="B463" s="2" t="str">
        <f>IF('Device Cables'!I466&lt;&gt;"",'Device Cables'!I466,"")</f>
        <v/>
      </c>
    </row>
    <row r="464" spans="1:2" x14ac:dyDescent="0.2">
      <c r="A464" s="2" t="str">
        <f>IF('Device Cables'!H467&lt;&gt;"",'Device Cables'!H467,"")</f>
        <v/>
      </c>
      <c r="B464" s="2" t="str">
        <f>IF('Device Cables'!I467&lt;&gt;"",'Device Cables'!I467,"")</f>
        <v/>
      </c>
    </row>
    <row r="465" spans="1:2" x14ac:dyDescent="0.2">
      <c r="A465" s="2" t="str">
        <f>IF('Device Cables'!H468&lt;&gt;"",'Device Cables'!H468,"")</f>
        <v/>
      </c>
      <c r="B465" s="2" t="str">
        <f>IF('Device Cables'!I468&lt;&gt;"",'Device Cables'!I468,"")</f>
        <v/>
      </c>
    </row>
    <row r="466" spans="1:2" x14ac:dyDescent="0.2">
      <c r="A466" s="2" t="str">
        <f>IF('Device Cables'!H469&lt;&gt;"",'Device Cables'!H469,"")</f>
        <v/>
      </c>
      <c r="B466" s="2" t="str">
        <f>IF('Device Cables'!I469&lt;&gt;"",'Device Cables'!I469,"")</f>
        <v/>
      </c>
    </row>
    <row r="467" spans="1:2" x14ac:dyDescent="0.2">
      <c r="A467" s="2" t="str">
        <f>IF('Device Cables'!H470&lt;&gt;"",'Device Cables'!H470,"")</f>
        <v/>
      </c>
      <c r="B467" s="2" t="str">
        <f>IF('Device Cables'!I470&lt;&gt;"",'Device Cables'!I470,"")</f>
        <v/>
      </c>
    </row>
    <row r="468" spans="1:2" x14ac:dyDescent="0.2">
      <c r="A468" s="2" t="str">
        <f>IF('Device Cables'!H471&lt;&gt;"",'Device Cables'!H471,"")</f>
        <v/>
      </c>
      <c r="B468" s="2" t="str">
        <f>IF('Device Cables'!I471&lt;&gt;"",'Device Cables'!I471,"")</f>
        <v/>
      </c>
    </row>
    <row r="469" spans="1:2" x14ac:dyDescent="0.2">
      <c r="A469" s="2" t="str">
        <f>IF('Device Cables'!H472&lt;&gt;"",'Device Cables'!H472,"")</f>
        <v/>
      </c>
      <c r="B469" s="2" t="str">
        <f>IF('Device Cables'!I472&lt;&gt;"",'Device Cables'!I472,"")</f>
        <v/>
      </c>
    </row>
    <row r="470" spans="1:2" x14ac:dyDescent="0.2">
      <c r="A470" s="2" t="str">
        <f>IF('Device Cables'!H473&lt;&gt;"",'Device Cables'!H473,"")</f>
        <v/>
      </c>
      <c r="B470" s="2" t="str">
        <f>IF('Device Cables'!I473&lt;&gt;"",'Device Cables'!I473,"")</f>
        <v/>
      </c>
    </row>
    <row r="471" spans="1:2" x14ac:dyDescent="0.2">
      <c r="A471" s="2" t="str">
        <f>IF('Device Cables'!H474&lt;&gt;"",'Device Cables'!H474,"")</f>
        <v/>
      </c>
      <c r="B471" s="2" t="str">
        <f>IF('Device Cables'!I474&lt;&gt;"",'Device Cables'!I474,"")</f>
        <v/>
      </c>
    </row>
    <row r="472" spans="1:2" x14ac:dyDescent="0.2">
      <c r="A472" s="2" t="str">
        <f>IF('Device Cables'!H475&lt;&gt;"",'Device Cables'!H475,"")</f>
        <v/>
      </c>
      <c r="B472" s="2" t="str">
        <f>IF('Device Cables'!I475&lt;&gt;"",'Device Cables'!I475,"")</f>
        <v/>
      </c>
    </row>
    <row r="473" spans="1:2" x14ac:dyDescent="0.2">
      <c r="A473" s="2" t="str">
        <f>IF('Device Cables'!H476&lt;&gt;"",'Device Cables'!H476,"")</f>
        <v/>
      </c>
      <c r="B473" s="2" t="str">
        <f>IF('Device Cables'!I476&lt;&gt;"",'Device Cables'!I476,"")</f>
        <v/>
      </c>
    </row>
    <row r="474" spans="1:2" x14ac:dyDescent="0.2">
      <c r="A474" s="2" t="str">
        <f>IF('Device Cables'!H477&lt;&gt;"",'Device Cables'!H477,"")</f>
        <v/>
      </c>
      <c r="B474" s="2" t="str">
        <f>IF('Device Cables'!I477&lt;&gt;"",'Device Cables'!I477,"")</f>
        <v/>
      </c>
    </row>
    <row r="475" spans="1:2" x14ac:dyDescent="0.2">
      <c r="A475" s="2" t="str">
        <f>IF('Device Cables'!H478&lt;&gt;"",'Device Cables'!H478,"")</f>
        <v/>
      </c>
      <c r="B475" s="2" t="str">
        <f>IF('Device Cables'!I478&lt;&gt;"",'Device Cables'!I478,"")</f>
        <v/>
      </c>
    </row>
    <row r="476" spans="1:2" x14ac:dyDescent="0.2">
      <c r="A476" s="2" t="str">
        <f>IF('Device Cables'!H479&lt;&gt;"",'Device Cables'!H479,"")</f>
        <v/>
      </c>
      <c r="B476" s="2" t="str">
        <f>IF('Device Cables'!I479&lt;&gt;"",'Device Cables'!I479,"")</f>
        <v/>
      </c>
    </row>
    <row r="477" spans="1:2" x14ac:dyDescent="0.2">
      <c r="A477" s="2" t="str">
        <f>IF('Device Cables'!H480&lt;&gt;"",'Device Cables'!H480,"")</f>
        <v/>
      </c>
      <c r="B477" s="2" t="str">
        <f>IF('Device Cables'!I480&lt;&gt;"",'Device Cables'!I480,"")</f>
        <v/>
      </c>
    </row>
    <row r="478" spans="1:2" x14ac:dyDescent="0.2">
      <c r="A478" s="2" t="str">
        <f>IF('Device Cables'!H481&lt;&gt;"",'Device Cables'!H481,"")</f>
        <v/>
      </c>
      <c r="B478" s="2" t="str">
        <f>IF('Device Cables'!I481&lt;&gt;"",'Device Cables'!I481,"")</f>
        <v/>
      </c>
    </row>
    <row r="479" spans="1:2" x14ac:dyDescent="0.2">
      <c r="A479" s="2" t="str">
        <f>IF('Device Cables'!H482&lt;&gt;"",'Device Cables'!H482,"")</f>
        <v/>
      </c>
      <c r="B479" s="2" t="str">
        <f>IF('Device Cables'!I482&lt;&gt;"",'Device Cables'!I482,"")</f>
        <v/>
      </c>
    </row>
    <row r="480" spans="1:2" x14ac:dyDescent="0.2">
      <c r="A480" s="2" t="str">
        <f>IF('Device Cables'!H483&lt;&gt;"",'Device Cables'!H483,"")</f>
        <v/>
      </c>
      <c r="B480" s="2" t="str">
        <f>IF('Device Cables'!I483&lt;&gt;"",'Device Cables'!I483,"")</f>
        <v/>
      </c>
    </row>
    <row r="481" spans="1:2" x14ac:dyDescent="0.2">
      <c r="A481" s="2" t="str">
        <f>IF('Device Cables'!H484&lt;&gt;"",'Device Cables'!H484,"")</f>
        <v/>
      </c>
      <c r="B481" s="2" t="str">
        <f>IF('Device Cables'!I484&lt;&gt;"",'Device Cables'!I484,"")</f>
        <v/>
      </c>
    </row>
    <row r="482" spans="1:2" x14ac:dyDescent="0.2">
      <c r="A482" s="2" t="str">
        <f>IF('Device Cables'!H485&lt;&gt;"",'Device Cables'!H485,"")</f>
        <v/>
      </c>
      <c r="B482" s="2" t="str">
        <f>IF('Device Cables'!I485&lt;&gt;"",'Device Cables'!I485,"")</f>
        <v/>
      </c>
    </row>
    <row r="483" spans="1:2" x14ac:dyDescent="0.2">
      <c r="A483" s="2" t="str">
        <f>IF('Device Cables'!H486&lt;&gt;"",'Device Cables'!H486,"")</f>
        <v/>
      </c>
      <c r="B483" s="2" t="str">
        <f>IF('Device Cables'!I486&lt;&gt;"",'Device Cables'!I486,"")</f>
        <v/>
      </c>
    </row>
    <row r="484" spans="1:2" x14ac:dyDescent="0.2">
      <c r="A484" s="2" t="str">
        <f>IF('Device Cables'!H487&lt;&gt;"",'Device Cables'!H487,"")</f>
        <v/>
      </c>
      <c r="B484" s="2" t="str">
        <f>IF('Device Cables'!I487&lt;&gt;"",'Device Cables'!I487,"")</f>
        <v/>
      </c>
    </row>
    <row r="485" spans="1:2" x14ac:dyDescent="0.2">
      <c r="A485" s="2" t="str">
        <f>IF('Device Cables'!H488&lt;&gt;"",'Device Cables'!H488,"")</f>
        <v/>
      </c>
      <c r="B485" s="2" t="str">
        <f>IF('Device Cables'!I488&lt;&gt;"",'Device Cables'!I488,"")</f>
        <v/>
      </c>
    </row>
    <row r="486" spans="1:2" x14ac:dyDescent="0.2">
      <c r="A486" s="2" t="str">
        <f>IF('Device Cables'!H489&lt;&gt;"",'Device Cables'!H489,"")</f>
        <v/>
      </c>
      <c r="B486" s="2" t="str">
        <f>IF('Device Cables'!I489&lt;&gt;"",'Device Cables'!I489,"")</f>
        <v/>
      </c>
    </row>
    <row r="487" spans="1:2" x14ac:dyDescent="0.2">
      <c r="A487" s="2" t="str">
        <f>IF('Device Cables'!H490&lt;&gt;"",'Device Cables'!H490,"")</f>
        <v/>
      </c>
      <c r="B487" s="2" t="str">
        <f>IF('Device Cables'!I490&lt;&gt;"",'Device Cables'!I490,"")</f>
        <v/>
      </c>
    </row>
    <row r="488" spans="1:2" x14ac:dyDescent="0.2">
      <c r="A488" s="2" t="str">
        <f>IF('Device Cables'!H491&lt;&gt;"",'Device Cables'!H491,"")</f>
        <v/>
      </c>
      <c r="B488" s="2" t="str">
        <f>IF('Device Cables'!I491&lt;&gt;"",'Device Cables'!I491,"")</f>
        <v/>
      </c>
    </row>
    <row r="489" spans="1:2" x14ac:dyDescent="0.2">
      <c r="A489" s="2" t="str">
        <f>IF('Device Cables'!H492&lt;&gt;"",'Device Cables'!H492,"")</f>
        <v/>
      </c>
      <c r="B489" s="2" t="str">
        <f>IF('Device Cables'!I492&lt;&gt;"",'Device Cables'!I492,"")</f>
        <v/>
      </c>
    </row>
    <row r="490" spans="1:2" x14ac:dyDescent="0.2">
      <c r="A490" s="2" t="str">
        <f>IF('Device Cables'!H493&lt;&gt;"",'Device Cables'!H493,"")</f>
        <v/>
      </c>
      <c r="B490" s="2" t="str">
        <f>IF('Device Cables'!I493&lt;&gt;"",'Device Cables'!I493,"")</f>
        <v/>
      </c>
    </row>
    <row r="491" spans="1:2" x14ac:dyDescent="0.2">
      <c r="A491" s="2" t="str">
        <f>IF('Device Cables'!H494&lt;&gt;"",'Device Cables'!H494,"")</f>
        <v/>
      </c>
      <c r="B491" s="2" t="str">
        <f>IF('Device Cables'!I494&lt;&gt;"",'Device Cables'!I494,"")</f>
        <v/>
      </c>
    </row>
    <row r="492" spans="1:2" x14ac:dyDescent="0.2">
      <c r="A492" s="2" t="str">
        <f>IF('Device Cables'!H495&lt;&gt;"",'Device Cables'!H495,"")</f>
        <v/>
      </c>
      <c r="B492" s="2" t="str">
        <f>IF('Device Cables'!I495&lt;&gt;"",'Device Cables'!I495,"")</f>
        <v/>
      </c>
    </row>
    <row r="493" spans="1:2" x14ac:dyDescent="0.2">
      <c r="A493" s="2" t="str">
        <f>IF('Device Cables'!H496&lt;&gt;"",'Device Cables'!H496,"")</f>
        <v/>
      </c>
      <c r="B493" s="2" t="str">
        <f>IF('Device Cables'!I496&lt;&gt;"",'Device Cables'!I496,"")</f>
        <v/>
      </c>
    </row>
    <row r="494" spans="1:2" x14ac:dyDescent="0.2">
      <c r="A494" s="2" t="str">
        <f>IF('Device Cables'!H497&lt;&gt;"",'Device Cables'!H497,"")</f>
        <v/>
      </c>
      <c r="B494" s="2" t="str">
        <f>IF('Device Cables'!I497&lt;&gt;"",'Device Cables'!I497,"")</f>
        <v/>
      </c>
    </row>
    <row r="495" spans="1:2" x14ac:dyDescent="0.2">
      <c r="A495" s="2" t="str">
        <f>IF('Device Cables'!H498&lt;&gt;"",'Device Cables'!H498,"")</f>
        <v/>
      </c>
      <c r="B495" s="2" t="str">
        <f>IF('Device Cables'!I498&lt;&gt;"",'Device Cables'!I498,"")</f>
        <v/>
      </c>
    </row>
    <row r="496" spans="1:2" x14ac:dyDescent="0.2">
      <c r="A496" s="2" t="str">
        <f>IF('Device Cables'!H499&lt;&gt;"",'Device Cables'!H499,"")</f>
        <v/>
      </c>
      <c r="B496" s="2" t="str">
        <f>IF('Device Cables'!I499&lt;&gt;"",'Device Cables'!I499,"")</f>
        <v/>
      </c>
    </row>
    <row r="497" spans="1:2" x14ac:dyDescent="0.2">
      <c r="A497" s="2" t="str">
        <f>IF('Device Cables'!H500&lt;&gt;"",'Device Cables'!H500,"")</f>
        <v/>
      </c>
      <c r="B497" s="2" t="str">
        <f>IF('Device Cables'!I500&lt;&gt;"",'Device Cables'!I500,"")</f>
        <v/>
      </c>
    </row>
    <row r="498" spans="1:2" x14ac:dyDescent="0.2">
      <c r="A498" s="2" t="str">
        <f>IF('Device Cables'!H501&lt;&gt;"",'Device Cables'!H501,"")</f>
        <v/>
      </c>
      <c r="B498" s="2" t="str">
        <f>IF('Device Cables'!I501&lt;&gt;"",'Device Cables'!I501,"")</f>
        <v/>
      </c>
    </row>
    <row r="499" spans="1:2" x14ac:dyDescent="0.2">
      <c r="A499" s="2" t="str">
        <f>IF('Device Cables'!H502&lt;&gt;"",'Device Cables'!H502,"")</f>
        <v/>
      </c>
      <c r="B499" s="2" t="str">
        <f>IF('Device Cables'!I502&lt;&gt;"",'Device Cables'!I502,"")</f>
        <v/>
      </c>
    </row>
    <row r="500" spans="1:2" x14ac:dyDescent="0.2">
      <c r="A500" s="2" t="str">
        <f>IF('Device Cables'!H503&lt;&gt;"",'Device Cables'!H503,"")</f>
        <v/>
      </c>
      <c r="B500" s="2" t="str">
        <f>IF('Device Cables'!I503&lt;&gt;"",'Device Cables'!I503,"")</f>
        <v/>
      </c>
    </row>
    <row r="501" spans="1:2" x14ac:dyDescent="0.2">
      <c r="A501" s="2" t="str">
        <f>IF('Device Cables'!H504&lt;&gt;"",'Device Cables'!H504,"")</f>
        <v/>
      </c>
      <c r="B501" s="2" t="str">
        <f>IF('Device Cables'!I504&lt;&gt;"",'Device Cables'!I504,"")</f>
        <v/>
      </c>
    </row>
    <row r="502" spans="1:2" x14ac:dyDescent="0.2">
      <c r="A502" s="2" t="str">
        <f>IF('Device Cables'!H505&lt;&gt;"",'Device Cables'!H505,"")</f>
        <v/>
      </c>
      <c r="B502" s="2" t="str">
        <f>IF('Device Cables'!I505&lt;&gt;"",'Device Cables'!I505,"")</f>
        <v/>
      </c>
    </row>
    <row r="503" spans="1:2" x14ac:dyDescent="0.2">
      <c r="A503" s="2" t="str">
        <f>IF('Device Cables'!H506&lt;&gt;"",'Device Cables'!H506,"")</f>
        <v/>
      </c>
      <c r="B503" s="2" t="str">
        <f>IF('Device Cables'!I506&lt;&gt;"",'Device Cables'!I506,"")</f>
        <v/>
      </c>
    </row>
    <row r="504" spans="1:2" x14ac:dyDescent="0.2">
      <c r="A504" s="2" t="str">
        <f>IF('Device Cables'!H507&lt;&gt;"",'Device Cables'!H507,"")</f>
        <v/>
      </c>
      <c r="B504" s="2" t="str">
        <f>IF('Device Cables'!I507&lt;&gt;"",'Device Cables'!I507,"")</f>
        <v/>
      </c>
    </row>
    <row r="505" spans="1:2" x14ac:dyDescent="0.2">
      <c r="A505" s="2" t="str">
        <f>IF('Device Cables'!H508&lt;&gt;"",'Device Cables'!H508,"")</f>
        <v/>
      </c>
      <c r="B505" s="2" t="str">
        <f>IF('Device Cables'!I508&lt;&gt;"",'Device Cables'!I508,"")</f>
        <v/>
      </c>
    </row>
    <row r="506" spans="1:2" x14ac:dyDescent="0.2">
      <c r="A506" s="2" t="str">
        <f>IF('Device Cables'!H509&lt;&gt;"",'Device Cables'!H509,"")</f>
        <v/>
      </c>
      <c r="B506" s="2" t="str">
        <f>IF('Device Cables'!I509&lt;&gt;"",'Device Cables'!I509,"")</f>
        <v/>
      </c>
    </row>
    <row r="507" spans="1:2" x14ac:dyDescent="0.2">
      <c r="A507" s="2" t="str">
        <f>IF('Device Cables'!H510&lt;&gt;"",'Device Cables'!H510,"")</f>
        <v/>
      </c>
      <c r="B507" s="2" t="str">
        <f>IF('Device Cables'!I510&lt;&gt;"",'Device Cables'!I510,"")</f>
        <v/>
      </c>
    </row>
    <row r="508" spans="1:2" x14ac:dyDescent="0.2">
      <c r="A508" s="2" t="str">
        <f>IF('Device Cables'!H511&lt;&gt;"",'Device Cables'!H511,"")</f>
        <v/>
      </c>
      <c r="B508" s="2" t="str">
        <f>IF('Device Cables'!I511&lt;&gt;"",'Device Cables'!I511,"")</f>
        <v/>
      </c>
    </row>
    <row r="509" spans="1:2" x14ac:dyDescent="0.2">
      <c r="A509" s="2" t="str">
        <f>IF('Device Cables'!H512&lt;&gt;"",'Device Cables'!H512,"")</f>
        <v/>
      </c>
      <c r="B509" s="2" t="str">
        <f>IF('Device Cables'!I512&lt;&gt;"",'Device Cables'!I512,"")</f>
        <v/>
      </c>
    </row>
    <row r="510" spans="1:2" x14ac:dyDescent="0.2">
      <c r="A510" s="2" t="str">
        <f>IF('Device Cables'!H513&lt;&gt;"",'Device Cables'!H513,"")</f>
        <v/>
      </c>
      <c r="B510" s="2" t="str">
        <f>IF('Device Cables'!I513&lt;&gt;"",'Device Cables'!I513,"")</f>
        <v/>
      </c>
    </row>
    <row r="511" spans="1:2" x14ac:dyDescent="0.2">
      <c r="A511" s="2" t="str">
        <f>IF('Device Cables'!H514&lt;&gt;"",'Device Cables'!H514,"")</f>
        <v/>
      </c>
      <c r="B511" s="2" t="str">
        <f>IF('Device Cables'!I514&lt;&gt;"",'Device Cables'!I514,"")</f>
        <v/>
      </c>
    </row>
    <row r="512" spans="1:2" x14ac:dyDescent="0.2">
      <c r="A512" s="2" t="str">
        <f>IF('Device Cables'!H515&lt;&gt;"",'Device Cables'!H515,"")</f>
        <v/>
      </c>
      <c r="B512" s="2" t="str">
        <f>IF('Device Cables'!I515&lt;&gt;"",'Device Cables'!I515,"")</f>
        <v/>
      </c>
    </row>
    <row r="513" spans="1:2" x14ac:dyDescent="0.2">
      <c r="A513" s="2" t="str">
        <f>IF('Device Cables'!H516&lt;&gt;"",'Device Cables'!H516,"")</f>
        <v/>
      </c>
      <c r="B513" s="2" t="str">
        <f>IF('Device Cables'!I516&lt;&gt;"",'Device Cables'!I516,"")</f>
        <v/>
      </c>
    </row>
    <row r="514" spans="1:2" x14ac:dyDescent="0.2">
      <c r="A514" s="2" t="str">
        <f>IF('Device Cables'!H517&lt;&gt;"",'Device Cables'!H517,"")</f>
        <v/>
      </c>
      <c r="B514" s="2" t="str">
        <f>IF('Device Cables'!I517&lt;&gt;"",'Device Cables'!I517,"")</f>
        <v/>
      </c>
    </row>
    <row r="515" spans="1:2" x14ac:dyDescent="0.2">
      <c r="A515" s="2" t="str">
        <f>IF('Device Cables'!H518&lt;&gt;"",'Device Cables'!H518,"")</f>
        <v/>
      </c>
      <c r="B515" s="2" t="str">
        <f>IF('Device Cables'!I518&lt;&gt;"",'Device Cables'!I518,"")</f>
        <v/>
      </c>
    </row>
    <row r="516" spans="1:2" x14ac:dyDescent="0.2">
      <c r="A516" s="2" t="str">
        <f>IF('Device Cables'!H519&lt;&gt;"",'Device Cables'!H519,"")</f>
        <v/>
      </c>
      <c r="B516" s="2" t="str">
        <f>IF('Device Cables'!I519&lt;&gt;"",'Device Cables'!I519,"")</f>
        <v/>
      </c>
    </row>
    <row r="517" spans="1:2" x14ac:dyDescent="0.2">
      <c r="A517" s="2" t="str">
        <f>IF('Device Cables'!H520&lt;&gt;"",'Device Cables'!H520,"")</f>
        <v/>
      </c>
      <c r="B517" s="2" t="str">
        <f>IF('Device Cables'!I520&lt;&gt;"",'Device Cables'!I520,"")</f>
        <v/>
      </c>
    </row>
    <row r="518" spans="1:2" x14ac:dyDescent="0.2">
      <c r="A518" s="2" t="str">
        <f>IF('Device Cables'!H521&lt;&gt;"",'Device Cables'!H521,"")</f>
        <v/>
      </c>
      <c r="B518" s="2" t="str">
        <f>IF('Device Cables'!I521&lt;&gt;"",'Device Cables'!I521,"")</f>
        <v/>
      </c>
    </row>
    <row r="519" spans="1:2" x14ac:dyDescent="0.2">
      <c r="A519" s="2" t="str">
        <f>IF('Device Cables'!H522&lt;&gt;"",'Device Cables'!H522,"")</f>
        <v/>
      </c>
      <c r="B519" s="2" t="str">
        <f>IF('Device Cables'!I522&lt;&gt;"",'Device Cables'!I522,"")</f>
        <v/>
      </c>
    </row>
    <row r="520" spans="1:2" x14ac:dyDescent="0.2">
      <c r="A520" s="2" t="str">
        <f>IF('Device Cables'!H523&lt;&gt;"",'Device Cables'!H523,"")</f>
        <v/>
      </c>
      <c r="B520" s="2" t="str">
        <f>IF('Device Cables'!I523&lt;&gt;"",'Device Cables'!I523,"")</f>
        <v/>
      </c>
    </row>
    <row r="521" spans="1:2" x14ac:dyDescent="0.2">
      <c r="A521" s="2" t="str">
        <f>IF('Device Cables'!H524&lt;&gt;"",'Device Cables'!H524,"")</f>
        <v/>
      </c>
      <c r="B521" s="2" t="str">
        <f>IF('Device Cables'!I524&lt;&gt;"",'Device Cables'!I524,"")</f>
        <v/>
      </c>
    </row>
    <row r="522" spans="1:2" x14ac:dyDescent="0.2">
      <c r="A522" s="2" t="str">
        <f>IF('Device Cables'!H525&lt;&gt;"",'Device Cables'!H525,"")</f>
        <v/>
      </c>
      <c r="B522" s="2" t="str">
        <f>IF('Device Cables'!I525&lt;&gt;"",'Device Cables'!I525,"")</f>
        <v/>
      </c>
    </row>
    <row r="523" spans="1:2" x14ac:dyDescent="0.2">
      <c r="A523" s="2" t="str">
        <f>IF('Device Cables'!H526&lt;&gt;"",'Device Cables'!H526,"")</f>
        <v/>
      </c>
      <c r="B523" s="2" t="str">
        <f>IF('Device Cables'!I526&lt;&gt;"",'Device Cables'!I526,"")</f>
        <v/>
      </c>
    </row>
    <row r="524" spans="1:2" x14ac:dyDescent="0.2">
      <c r="A524" s="2" t="str">
        <f>IF('Device Cables'!H527&lt;&gt;"",'Device Cables'!H527,"")</f>
        <v/>
      </c>
      <c r="B524" s="2" t="str">
        <f>IF('Device Cables'!I527&lt;&gt;"",'Device Cables'!I527,"")</f>
        <v/>
      </c>
    </row>
    <row r="525" spans="1:2" x14ac:dyDescent="0.2">
      <c r="A525" s="2" t="str">
        <f>IF('Device Cables'!H528&lt;&gt;"",'Device Cables'!H528,"")</f>
        <v/>
      </c>
      <c r="B525" s="2" t="str">
        <f>IF('Device Cables'!I528&lt;&gt;"",'Device Cables'!I528,"")</f>
        <v/>
      </c>
    </row>
    <row r="526" spans="1:2" x14ac:dyDescent="0.2">
      <c r="A526" s="2" t="str">
        <f>IF('Device Cables'!H529&lt;&gt;"",'Device Cables'!H529,"")</f>
        <v/>
      </c>
      <c r="B526" s="2" t="str">
        <f>IF('Device Cables'!I529&lt;&gt;"",'Device Cables'!I529,"")</f>
        <v/>
      </c>
    </row>
    <row r="527" spans="1:2" x14ac:dyDescent="0.2">
      <c r="A527" s="2" t="str">
        <f>IF('Device Cables'!H530&lt;&gt;"",'Device Cables'!H530,"")</f>
        <v/>
      </c>
      <c r="B527" s="2" t="str">
        <f>IF('Device Cables'!I530&lt;&gt;"",'Device Cables'!I530,"")</f>
        <v/>
      </c>
    </row>
    <row r="528" spans="1:2" x14ac:dyDescent="0.2">
      <c r="A528" s="2" t="str">
        <f>IF('Device Cables'!H531&lt;&gt;"",'Device Cables'!H531,"")</f>
        <v/>
      </c>
      <c r="B528" s="2" t="str">
        <f>IF('Device Cables'!I531&lt;&gt;"",'Device Cables'!I531,"")</f>
        <v/>
      </c>
    </row>
    <row r="529" spans="1:2" x14ac:dyDescent="0.2">
      <c r="A529" s="2" t="str">
        <f>IF('Device Cables'!H532&lt;&gt;"",'Device Cables'!H532,"")</f>
        <v/>
      </c>
      <c r="B529" s="2" t="str">
        <f>IF('Device Cables'!I532&lt;&gt;"",'Device Cables'!I532,"")</f>
        <v/>
      </c>
    </row>
    <row r="530" spans="1:2" x14ac:dyDescent="0.2">
      <c r="A530" s="2" t="str">
        <f>IF('Device Cables'!H533&lt;&gt;"",'Device Cables'!H533,"")</f>
        <v/>
      </c>
      <c r="B530" s="2" t="str">
        <f>IF('Device Cables'!I533&lt;&gt;"",'Device Cables'!I533,"")</f>
        <v/>
      </c>
    </row>
    <row r="531" spans="1:2" x14ac:dyDescent="0.2">
      <c r="A531" s="2" t="str">
        <f>IF('Device Cables'!H534&lt;&gt;"",'Device Cables'!H534,"")</f>
        <v/>
      </c>
      <c r="B531" s="2" t="str">
        <f>IF('Device Cables'!I534&lt;&gt;"",'Device Cables'!I534,"")</f>
        <v/>
      </c>
    </row>
    <row r="532" spans="1:2" x14ac:dyDescent="0.2">
      <c r="A532" s="2" t="str">
        <f>IF('Device Cables'!H535&lt;&gt;"",'Device Cables'!H535,"")</f>
        <v/>
      </c>
      <c r="B532" s="2" t="str">
        <f>IF('Device Cables'!I535&lt;&gt;"",'Device Cables'!I535,"")</f>
        <v/>
      </c>
    </row>
    <row r="533" spans="1:2" x14ac:dyDescent="0.2">
      <c r="A533" s="2" t="str">
        <f>IF('Device Cables'!H536&lt;&gt;"",'Device Cables'!H536,"")</f>
        <v/>
      </c>
      <c r="B533" s="2" t="str">
        <f>IF('Device Cables'!I536&lt;&gt;"",'Device Cables'!I536,"")</f>
        <v/>
      </c>
    </row>
    <row r="534" spans="1:2" x14ac:dyDescent="0.2">
      <c r="A534" s="2" t="str">
        <f>IF('Device Cables'!H537&lt;&gt;"",'Device Cables'!H537,"")</f>
        <v/>
      </c>
      <c r="B534" s="2" t="str">
        <f>IF('Device Cables'!I537&lt;&gt;"",'Device Cables'!I537,"")</f>
        <v/>
      </c>
    </row>
    <row r="535" spans="1:2" x14ac:dyDescent="0.2">
      <c r="A535" s="2" t="str">
        <f>IF('Device Cables'!H538&lt;&gt;"",'Device Cables'!H538,"")</f>
        <v/>
      </c>
      <c r="B535" s="2" t="str">
        <f>IF('Device Cables'!I538&lt;&gt;"",'Device Cables'!I538,"")</f>
        <v/>
      </c>
    </row>
    <row r="536" spans="1:2" x14ac:dyDescent="0.2">
      <c r="A536" s="2" t="str">
        <f>IF('Device Cables'!H539&lt;&gt;"",'Device Cables'!H539,"")</f>
        <v/>
      </c>
      <c r="B536" s="2" t="str">
        <f>IF('Device Cables'!I539&lt;&gt;"",'Device Cables'!I539,"")</f>
        <v/>
      </c>
    </row>
    <row r="537" spans="1:2" x14ac:dyDescent="0.2">
      <c r="A537" s="2" t="str">
        <f>IF('Device Cables'!H540&lt;&gt;"",'Device Cables'!H540,"")</f>
        <v/>
      </c>
      <c r="B537" s="2" t="str">
        <f>IF('Device Cables'!I540&lt;&gt;"",'Device Cables'!I540,"")</f>
        <v/>
      </c>
    </row>
    <row r="538" spans="1:2" x14ac:dyDescent="0.2">
      <c r="A538" s="2" t="str">
        <f>IF('Device Cables'!H541&lt;&gt;"",'Device Cables'!H541,"")</f>
        <v/>
      </c>
      <c r="B538" s="2" t="str">
        <f>IF('Device Cables'!I541&lt;&gt;"",'Device Cables'!I541,"")</f>
        <v/>
      </c>
    </row>
    <row r="539" spans="1:2" x14ac:dyDescent="0.2">
      <c r="A539" s="2" t="str">
        <f>IF('Device Cables'!H542&lt;&gt;"",'Device Cables'!H542,"")</f>
        <v/>
      </c>
      <c r="B539" s="2" t="str">
        <f>IF('Device Cables'!I542&lt;&gt;"",'Device Cables'!I542,"")</f>
        <v/>
      </c>
    </row>
    <row r="540" spans="1:2" x14ac:dyDescent="0.2">
      <c r="A540" s="2" t="str">
        <f>IF('Device Cables'!H543&lt;&gt;"",'Device Cables'!H543,"")</f>
        <v/>
      </c>
      <c r="B540" s="2" t="str">
        <f>IF('Device Cables'!I543&lt;&gt;"",'Device Cables'!I543,"")</f>
        <v/>
      </c>
    </row>
    <row r="541" spans="1:2" x14ac:dyDescent="0.2">
      <c r="A541" s="2" t="str">
        <f>IF('Device Cables'!H544&lt;&gt;"",'Device Cables'!H544,"")</f>
        <v/>
      </c>
      <c r="B541" s="2" t="str">
        <f>IF('Device Cables'!I544&lt;&gt;"",'Device Cables'!I544,"")</f>
        <v/>
      </c>
    </row>
    <row r="542" spans="1:2" x14ac:dyDescent="0.2">
      <c r="A542" s="2" t="str">
        <f>IF('Device Cables'!H545&lt;&gt;"",'Device Cables'!H545,"")</f>
        <v/>
      </c>
      <c r="B542" s="2" t="str">
        <f>IF('Device Cables'!I545&lt;&gt;"",'Device Cables'!I545,"")</f>
        <v/>
      </c>
    </row>
    <row r="543" spans="1:2" x14ac:dyDescent="0.2">
      <c r="A543" s="2" t="str">
        <f>IF('Device Cables'!H546&lt;&gt;"",'Device Cables'!H546,"")</f>
        <v/>
      </c>
      <c r="B543" s="2" t="str">
        <f>IF('Device Cables'!I546&lt;&gt;"",'Device Cables'!I546,"")</f>
        <v/>
      </c>
    </row>
    <row r="544" spans="1:2" x14ac:dyDescent="0.2">
      <c r="A544" s="2" t="str">
        <f>IF('Device Cables'!H547&lt;&gt;"",'Device Cables'!H547,"")</f>
        <v/>
      </c>
      <c r="B544" s="2" t="str">
        <f>IF('Device Cables'!I547&lt;&gt;"",'Device Cables'!I547,"")</f>
        <v/>
      </c>
    </row>
    <row r="545" spans="1:2" x14ac:dyDescent="0.2">
      <c r="A545" s="2" t="str">
        <f>IF('Device Cables'!H548&lt;&gt;"",'Device Cables'!H548,"")</f>
        <v/>
      </c>
      <c r="B545" s="2" t="str">
        <f>IF('Device Cables'!I548&lt;&gt;"",'Device Cables'!I548,"")</f>
        <v/>
      </c>
    </row>
    <row r="546" spans="1:2" x14ac:dyDescent="0.2">
      <c r="A546" s="2" t="str">
        <f>IF('Device Cables'!H549&lt;&gt;"",'Device Cables'!H549,"")</f>
        <v/>
      </c>
      <c r="B546" s="2" t="str">
        <f>IF('Device Cables'!I549&lt;&gt;"",'Device Cables'!I549,"")</f>
        <v/>
      </c>
    </row>
    <row r="547" spans="1:2" x14ac:dyDescent="0.2">
      <c r="A547" s="2" t="str">
        <f>IF('Device Cables'!H550&lt;&gt;"",'Device Cables'!H550,"")</f>
        <v/>
      </c>
      <c r="B547" s="2" t="str">
        <f>IF('Device Cables'!I550&lt;&gt;"",'Device Cables'!I550,"")</f>
        <v/>
      </c>
    </row>
    <row r="548" spans="1:2" x14ac:dyDescent="0.2">
      <c r="A548" s="2" t="str">
        <f>IF('Device Cables'!H551&lt;&gt;"",'Device Cables'!H551,"")</f>
        <v/>
      </c>
      <c r="B548" s="2" t="str">
        <f>IF('Device Cables'!I551&lt;&gt;"",'Device Cables'!I551,"")</f>
        <v/>
      </c>
    </row>
    <row r="549" spans="1:2" x14ac:dyDescent="0.2">
      <c r="A549" s="2" t="str">
        <f>IF('Device Cables'!H552&lt;&gt;"",'Device Cables'!H552,"")</f>
        <v/>
      </c>
      <c r="B549" s="2" t="str">
        <f>IF('Device Cables'!I552&lt;&gt;"",'Device Cables'!I552,"")</f>
        <v/>
      </c>
    </row>
    <row r="550" spans="1:2" x14ac:dyDescent="0.2">
      <c r="A550" s="2" t="str">
        <f>IF('Device Cables'!H553&lt;&gt;"",'Device Cables'!H553,"")</f>
        <v/>
      </c>
      <c r="B550" s="2" t="str">
        <f>IF('Device Cables'!I553&lt;&gt;"",'Device Cables'!I553,"")</f>
        <v/>
      </c>
    </row>
    <row r="551" spans="1:2" x14ac:dyDescent="0.2">
      <c r="A551" s="2" t="str">
        <f>IF('Device Cables'!H554&lt;&gt;"",'Device Cables'!H554,"")</f>
        <v/>
      </c>
      <c r="B551" s="2" t="str">
        <f>IF('Device Cables'!I554&lt;&gt;"",'Device Cables'!I554,"")</f>
        <v/>
      </c>
    </row>
    <row r="552" spans="1:2" x14ac:dyDescent="0.2">
      <c r="A552" s="2" t="str">
        <f>IF('Device Cables'!H555&lt;&gt;"",'Device Cables'!H555,"")</f>
        <v/>
      </c>
      <c r="B552" s="2" t="str">
        <f>IF('Device Cables'!I555&lt;&gt;"",'Device Cables'!I555,"")</f>
        <v/>
      </c>
    </row>
    <row r="553" spans="1:2" x14ac:dyDescent="0.2">
      <c r="A553" s="2" t="str">
        <f>IF('Device Cables'!H556&lt;&gt;"",'Device Cables'!H556,"")</f>
        <v/>
      </c>
      <c r="B553" s="2" t="str">
        <f>IF('Device Cables'!I556&lt;&gt;"",'Device Cables'!I556,"")</f>
        <v/>
      </c>
    </row>
    <row r="554" spans="1:2" x14ac:dyDescent="0.2">
      <c r="A554" s="2" t="str">
        <f>IF('Device Cables'!H557&lt;&gt;"",'Device Cables'!H557,"")</f>
        <v/>
      </c>
      <c r="B554" s="2" t="str">
        <f>IF('Device Cables'!I557&lt;&gt;"",'Device Cables'!I557,"")</f>
        <v/>
      </c>
    </row>
    <row r="555" spans="1:2" x14ac:dyDescent="0.2">
      <c r="A555" s="2" t="str">
        <f>IF('Device Cables'!H558&lt;&gt;"",'Device Cables'!H558,"")</f>
        <v/>
      </c>
      <c r="B555" s="2" t="str">
        <f>IF('Device Cables'!I558&lt;&gt;"",'Device Cables'!I558,"")</f>
        <v/>
      </c>
    </row>
    <row r="556" spans="1:2" x14ac:dyDescent="0.2">
      <c r="A556" s="2" t="str">
        <f>IF('Device Cables'!H559&lt;&gt;"",'Device Cables'!H559,"")</f>
        <v/>
      </c>
      <c r="B556" s="2" t="str">
        <f>IF('Device Cables'!I559&lt;&gt;"",'Device Cables'!I559,"")</f>
        <v/>
      </c>
    </row>
    <row r="557" spans="1:2" x14ac:dyDescent="0.2">
      <c r="A557" s="2" t="str">
        <f>IF('Device Cables'!H560&lt;&gt;"",'Device Cables'!H560,"")</f>
        <v/>
      </c>
      <c r="B557" s="2" t="str">
        <f>IF('Device Cables'!I560&lt;&gt;"",'Device Cables'!I560,"")</f>
        <v/>
      </c>
    </row>
    <row r="558" spans="1:2" x14ac:dyDescent="0.2">
      <c r="A558" s="2" t="str">
        <f>IF('Device Cables'!H561&lt;&gt;"",'Device Cables'!H561,"")</f>
        <v/>
      </c>
      <c r="B558" s="2" t="str">
        <f>IF('Device Cables'!I561&lt;&gt;"",'Device Cables'!I561,"")</f>
        <v/>
      </c>
    </row>
    <row r="559" spans="1:2" x14ac:dyDescent="0.2">
      <c r="A559" s="2" t="str">
        <f>IF('Device Cables'!H562&lt;&gt;"",'Device Cables'!H562,"")</f>
        <v/>
      </c>
      <c r="B559" s="2" t="str">
        <f>IF('Device Cables'!I562&lt;&gt;"",'Device Cables'!I562,"")</f>
        <v/>
      </c>
    </row>
    <row r="560" spans="1:2" x14ac:dyDescent="0.2">
      <c r="A560" s="2" t="str">
        <f>IF('Device Cables'!H563&lt;&gt;"",'Device Cables'!H563,"")</f>
        <v/>
      </c>
      <c r="B560" s="2" t="str">
        <f>IF('Device Cables'!I563&lt;&gt;"",'Device Cables'!I563,"")</f>
        <v/>
      </c>
    </row>
    <row r="561" spans="1:2" x14ac:dyDescent="0.2">
      <c r="A561" s="2" t="str">
        <f>IF('Device Cables'!H564&lt;&gt;"",'Device Cables'!H564,"")</f>
        <v/>
      </c>
      <c r="B561" s="2" t="str">
        <f>IF('Device Cables'!I564&lt;&gt;"",'Device Cables'!I564,"")</f>
        <v/>
      </c>
    </row>
    <row r="562" spans="1:2" x14ac:dyDescent="0.2">
      <c r="A562" s="2" t="str">
        <f>IF('Device Cables'!H565&lt;&gt;"",'Device Cables'!H565,"")</f>
        <v/>
      </c>
      <c r="B562" s="2" t="str">
        <f>IF('Device Cables'!I565&lt;&gt;"",'Device Cables'!I565,"")</f>
        <v/>
      </c>
    </row>
    <row r="563" spans="1:2" x14ac:dyDescent="0.2">
      <c r="A563" s="2" t="str">
        <f>IF('Device Cables'!H566&lt;&gt;"",'Device Cables'!H566,"")</f>
        <v/>
      </c>
      <c r="B563" s="2" t="str">
        <f>IF('Device Cables'!I566&lt;&gt;"",'Device Cables'!I566,"")</f>
        <v/>
      </c>
    </row>
    <row r="564" spans="1:2" x14ac:dyDescent="0.2">
      <c r="A564" s="2" t="str">
        <f>IF('Device Cables'!H567&lt;&gt;"",'Device Cables'!H567,"")</f>
        <v/>
      </c>
      <c r="B564" s="2" t="str">
        <f>IF('Device Cables'!I567&lt;&gt;"",'Device Cables'!I567,"")</f>
        <v/>
      </c>
    </row>
    <row r="565" spans="1:2" x14ac:dyDescent="0.2">
      <c r="A565" s="2" t="str">
        <f>IF('Device Cables'!H568&lt;&gt;"",'Device Cables'!H568,"")</f>
        <v/>
      </c>
      <c r="B565" s="2" t="str">
        <f>IF('Device Cables'!I568&lt;&gt;"",'Device Cables'!I568,"")</f>
        <v/>
      </c>
    </row>
    <row r="566" spans="1:2" x14ac:dyDescent="0.2">
      <c r="A566" s="2" t="str">
        <f>IF('Device Cables'!H569&lt;&gt;"",'Device Cables'!H569,"")</f>
        <v/>
      </c>
      <c r="B566" s="2" t="str">
        <f>IF('Device Cables'!I569&lt;&gt;"",'Device Cables'!I569,"")</f>
        <v/>
      </c>
    </row>
    <row r="567" spans="1:2" x14ac:dyDescent="0.2">
      <c r="A567" s="2" t="str">
        <f>IF('Device Cables'!H570&lt;&gt;"",'Device Cables'!H570,"")</f>
        <v/>
      </c>
      <c r="B567" s="2" t="str">
        <f>IF('Device Cables'!I570&lt;&gt;"",'Device Cables'!I570,"")</f>
        <v/>
      </c>
    </row>
    <row r="568" spans="1:2" x14ac:dyDescent="0.2">
      <c r="A568" s="2" t="str">
        <f>IF('Device Cables'!H571&lt;&gt;"",'Device Cables'!H571,"")</f>
        <v/>
      </c>
      <c r="B568" s="2" t="str">
        <f>IF('Device Cables'!I571&lt;&gt;"",'Device Cables'!I571,"")</f>
        <v/>
      </c>
    </row>
    <row r="569" spans="1:2" x14ac:dyDescent="0.2">
      <c r="A569" s="2" t="str">
        <f>IF('Device Cables'!H572&lt;&gt;"",'Device Cables'!H572,"")</f>
        <v/>
      </c>
      <c r="B569" s="2" t="str">
        <f>IF('Device Cables'!I572&lt;&gt;"",'Device Cables'!I572,"")</f>
        <v/>
      </c>
    </row>
    <row r="570" spans="1:2" x14ac:dyDescent="0.2">
      <c r="A570" s="2" t="str">
        <f>IF('Device Cables'!H573&lt;&gt;"",'Device Cables'!H573,"")</f>
        <v/>
      </c>
      <c r="B570" s="2" t="str">
        <f>IF('Device Cables'!I573&lt;&gt;"",'Device Cables'!I573,"")</f>
        <v/>
      </c>
    </row>
    <row r="571" spans="1:2" x14ac:dyDescent="0.2">
      <c r="A571" s="2" t="str">
        <f>IF('Device Cables'!H574&lt;&gt;"",'Device Cables'!H574,"")</f>
        <v/>
      </c>
      <c r="B571" s="2" t="str">
        <f>IF('Device Cables'!I574&lt;&gt;"",'Device Cables'!I574,"")</f>
        <v/>
      </c>
    </row>
    <row r="572" spans="1:2" x14ac:dyDescent="0.2">
      <c r="A572" s="2" t="str">
        <f>IF('Device Cables'!H575&lt;&gt;"",'Device Cables'!H575,"")</f>
        <v/>
      </c>
      <c r="B572" s="2" t="str">
        <f>IF('Device Cables'!I575&lt;&gt;"",'Device Cables'!I575,"")</f>
        <v/>
      </c>
    </row>
    <row r="573" spans="1:2" x14ac:dyDescent="0.2">
      <c r="A573" s="2" t="str">
        <f>IF('Device Cables'!H576&lt;&gt;"",'Device Cables'!H576,"")</f>
        <v/>
      </c>
      <c r="B573" s="2" t="str">
        <f>IF('Device Cables'!I576&lt;&gt;"",'Device Cables'!I576,"")</f>
        <v/>
      </c>
    </row>
    <row r="574" spans="1:2" x14ac:dyDescent="0.2">
      <c r="A574" s="2" t="str">
        <f>IF('Device Cables'!H577&lt;&gt;"",'Device Cables'!H577,"")</f>
        <v/>
      </c>
      <c r="B574" s="2" t="str">
        <f>IF('Device Cables'!I577&lt;&gt;"",'Device Cables'!I577,"")</f>
        <v/>
      </c>
    </row>
    <row r="575" spans="1:2" x14ac:dyDescent="0.2">
      <c r="A575" s="2" t="str">
        <f>IF('Device Cables'!H578&lt;&gt;"",'Device Cables'!H578,"")</f>
        <v/>
      </c>
      <c r="B575" s="2" t="str">
        <f>IF('Device Cables'!I578&lt;&gt;"",'Device Cables'!I578,"")</f>
        <v/>
      </c>
    </row>
    <row r="576" spans="1:2" x14ac:dyDescent="0.2">
      <c r="A576" s="2" t="str">
        <f>IF('Device Cables'!H579&lt;&gt;"",'Device Cables'!H579,"")</f>
        <v/>
      </c>
      <c r="B576" s="2" t="str">
        <f>IF('Device Cables'!I579&lt;&gt;"",'Device Cables'!I579,"")</f>
        <v/>
      </c>
    </row>
    <row r="577" spans="1:2" x14ac:dyDescent="0.2">
      <c r="A577" s="2" t="str">
        <f>IF('Device Cables'!H580&lt;&gt;"",'Device Cables'!H580,"")</f>
        <v/>
      </c>
      <c r="B577" s="2" t="str">
        <f>IF('Device Cables'!I580&lt;&gt;"",'Device Cables'!I580,"")</f>
        <v/>
      </c>
    </row>
    <row r="578" spans="1:2" x14ac:dyDescent="0.2">
      <c r="A578" s="2" t="str">
        <f>IF('Device Cables'!H581&lt;&gt;"",'Device Cables'!H581,"")</f>
        <v/>
      </c>
      <c r="B578" s="2" t="str">
        <f>IF('Device Cables'!I581&lt;&gt;"",'Device Cables'!I581,"")</f>
        <v/>
      </c>
    </row>
    <row r="579" spans="1:2" x14ac:dyDescent="0.2">
      <c r="A579" s="2" t="str">
        <f>IF('Device Cables'!H582&lt;&gt;"",'Device Cables'!H582,"")</f>
        <v/>
      </c>
      <c r="B579" s="2" t="str">
        <f>IF('Device Cables'!I582&lt;&gt;"",'Device Cables'!I582,"")</f>
        <v/>
      </c>
    </row>
    <row r="580" spans="1:2" x14ac:dyDescent="0.2">
      <c r="A580" s="2" t="str">
        <f>IF('Device Cables'!H583&lt;&gt;"",'Device Cables'!H583,"")</f>
        <v/>
      </c>
      <c r="B580" s="2" t="str">
        <f>IF('Device Cables'!I583&lt;&gt;"",'Device Cables'!I583,"")</f>
        <v/>
      </c>
    </row>
    <row r="581" spans="1:2" x14ac:dyDescent="0.2">
      <c r="A581" s="2" t="str">
        <f>IF('Device Cables'!H584&lt;&gt;"",'Device Cables'!H584,"")</f>
        <v/>
      </c>
      <c r="B581" s="2" t="str">
        <f>IF('Device Cables'!I584&lt;&gt;"",'Device Cables'!I584,"")</f>
        <v/>
      </c>
    </row>
    <row r="582" spans="1:2" x14ac:dyDescent="0.2">
      <c r="A582" s="2" t="str">
        <f>IF('Device Cables'!H585&lt;&gt;"",'Device Cables'!H585,"")</f>
        <v/>
      </c>
      <c r="B582" s="2" t="str">
        <f>IF('Device Cables'!I585&lt;&gt;"",'Device Cables'!I585,"")</f>
        <v/>
      </c>
    </row>
    <row r="583" spans="1:2" x14ac:dyDescent="0.2">
      <c r="A583" s="2" t="str">
        <f>IF('Device Cables'!H586&lt;&gt;"",'Device Cables'!H586,"")</f>
        <v/>
      </c>
      <c r="B583" s="2" t="str">
        <f>IF('Device Cables'!I586&lt;&gt;"",'Device Cables'!I586,"")</f>
        <v/>
      </c>
    </row>
    <row r="584" spans="1:2" x14ac:dyDescent="0.2">
      <c r="A584" s="2" t="str">
        <f>IF('Device Cables'!H587&lt;&gt;"",'Device Cables'!H587,"")</f>
        <v/>
      </c>
      <c r="B584" s="2" t="str">
        <f>IF('Device Cables'!I587&lt;&gt;"",'Device Cables'!I587,"")</f>
        <v/>
      </c>
    </row>
    <row r="585" spans="1:2" x14ac:dyDescent="0.2">
      <c r="A585" s="2" t="str">
        <f>IF('Device Cables'!H588&lt;&gt;"",'Device Cables'!H588,"")</f>
        <v/>
      </c>
      <c r="B585" s="2" t="str">
        <f>IF('Device Cables'!I588&lt;&gt;"",'Device Cables'!I588,"")</f>
        <v/>
      </c>
    </row>
    <row r="586" spans="1:2" x14ac:dyDescent="0.2">
      <c r="A586" s="2" t="str">
        <f>IF('Device Cables'!H589&lt;&gt;"",'Device Cables'!H589,"")</f>
        <v/>
      </c>
      <c r="B586" s="2" t="str">
        <f>IF('Device Cables'!I589&lt;&gt;"",'Device Cables'!I589,"")</f>
        <v/>
      </c>
    </row>
    <row r="587" spans="1:2" x14ac:dyDescent="0.2">
      <c r="A587" s="2" t="str">
        <f>IF('Device Cables'!H590&lt;&gt;"",'Device Cables'!H590,"")</f>
        <v/>
      </c>
      <c r="B587" s="2" t="str">
        <f>IF('Device Cables'!I590&lt;&gt;"",'Device Cables'!I590,"")</f>
        <v/>
      </c>
    </row>
    <row r="588" spans="1:2" x14ac:dyDescent="0.2">
      <c r="A588" s="2" t="str">
        <f>IF('Device Cables'!H591&lt;&gt;"",'Device Cables'!H591,"")</f>
        <v/>
      </c>
      <c r="B588" s="2" t="str">
        <f>IF('Device Cables'!I591&lt;&gt;"",'Device Cables'!I591,"")</f>
        <v/>
      </c>
    </row>
    <row r="589" spans="1:2" x14ac:dyDescent="0.2">
      <c r="A589" s="2" t="str">
        <f>IF('Device Cables'!H592&lt;&gt;"",'Device Cables'!H592,"")</f>
        <v/>
      </c>
      <c r="B589" s="2" t="str">
        <f>IF('Device Cables'!I592&lt;&gt;"",'Device Cables'!I592,"")</f>
        <v/>
      </c>
    </row>
    <row r="590" spans="1:2" x14ac:dyDescent="0.2">
      <c r="A590" s="2" t="str">
        <f>IF('Device Cables'!H593&lt;&gt;"",'Device Cables'!H593,"")</f>
        <v/>
      </c>
      <c r="B590" s="2" t="str">
        <f>IF('Device Cables'!I593&lt;&gt;"",'Device Cables'!I593,"")</f>
        <v/>
      </c>
    </row>
    <row r="591" spans="1:2" x14ac:dyDescent="0.2">
      <c r="A591" s="2" t="str">
        <f>IF('Device Cables'!H594&lt;&gt;"",'Device Cables'!H594,"")</f>
        <v/>
      </c>
      <c r="B591" s="2" t="str">
        <f>IF('Device Cables'!I594&lt;&gt;"",'Device Cables'!I594,"")</f>
        <v/>
      </c>
    </row>
    <row r="592" spans="1:2" x14ac:dyDescent="0.2">
      <c r="A592" s="2" t="str">
        <f>IF('Device Cables'!H595&lt;&gt;"",'Device Cables'!H595,"")</f>
        <v/>
      </c>
      <c r="B592" s="2" t="str">
        <f>IF('Device Cables'!I595&lt;&gt;"",'Device Cables'!I595,"")</f>
        <v/>
      </c>
    </row>
    <row r="593" spans="1:2" x14ac:dyDescent="0.2">
      <c r="A593" s="2" t="str">
        <f>IF('Device Cables'!H596&lt;&gt;"",'Device Cables'!H596,"")</f>
        <v/>
      </c>
      <c r="B593" s="2" t="str">
        <f>IF('Device Cables'!I596&lt;&gt;"",'Device Cables'!I596,"")</f>
        <v/>
      </c>
    </row>
    <row r="594" spans="1:2" x14ac:dyDescent="0.2">
      <c r="A594" s="2" t="str">
        <f>IF('Device Cables'!H597&lt;&gt;"",'Device Cables'!H597,"")</f>
        <v/>
      </c>
      <c r="B594" s="2" t="str">
        <f>IF('Device Cables'!I597&lt;&gt;"",'Device Cables'!I597,"")</f>
        <v/>
      </c>
    </row>
    <row r="595" spans="1:2" x14ac:dyDescent="0.2">
      <c r="A595" s="2" t="str">
        <f>IF('Device Cables'!H598&lt;&gt;"",'Device Cables'!H598,"")</f>
        <v/>
      </c>
      <c r="B595" s="2" t="str">
        <f>IF('Device Cables'!I598&lt;&gt;"",'Device Cables'!I598,"")</f>
        <v/>
      </c>
    </row>
    <row r="596" spans="1:2" x14ac:dyDescent="0.2">
      <c r="A596" s="2" t="str">
        <f>IF('Device Cables'!H599&lt;&gt;"",'Device Cables'!H599,"")</f>
        <v/>
      </c>
      <c r="B596" s="2" t="str">
        <f>IF('Device Cables'!I599&lt;&gt;"",'Device Cables'!I599,"")</f>
        <v/>
      </c>
    </row>
    <row r="597" spans="1:2" x14ac:dyDescent="0.2">
      <c r="A597" s="2" t="str">
        <f>IF('Device Cables'!H600&lt;&gt;"",'Device Cables'!H600,"")</f>
        <v/>
      </c>
      <c r="B597" s="2" t="str">
        <f>IF('Device Cables'!I600&lt;&gt;"",'Device Cables'!I600,"")</f>
        <v/>
      </c>
    </row>
    <row r="598" spans="1:2" x14ac:dyDescent="0.2">
      <c r="A598" s="2" t="str">
        <f>IF('Device Cables'!H601&lt;&gt;"",'Device Cables'!H601,"")</f>
        <v/>
      </c>
      <c r="B598" s="2" t="str">
        <f>IF('Device Cables'!I601&lt;&gt;"",'Device Cables'!I601,"")</f>
        <v/>
      </c>
    </row>
    <row r="599" spans="1:2" x14ac:dyDescent="0.2">
      <c r="A599" s="2" t="str">
        <f>IF('Device Cables'!H602&lt;&gt;"",'Device Cables'!H602,"")</f>
        <v/>
      </c>
      <c r="B599" s="2" t="str">
        <f>IF('Device Cables'!I602&lt;&gt;"",'Device Cables'!I602,"")</f>
        <v/>
      </c>
    </row>
    <row r="600" spans="1:2" x14ac:dyDescent="0.2">
      <c r="A600" s="2" t="str">
        <f>IF('Device Cables'!H603&lt;&gt;"",'Device Cables'!H603,"")</f>
        <v/>
      </c>
      <c r="B600" s="2" t="str">
        <f>IF('Device Cables'!I603&lt;&gt;"",'Device Cables'!I603,"")</f>
        <v/>
      </c>
    </row>
    <row r="601" spans="1:2" x14ac:dyDescent="0.2">
      <c r="A601" s="2" t="str">
        <f>IF('Device Cables'!H604&lt;&gt;"",'Device Cables'!H604,"")</f>
        <v/>
      </c>
      <c r="B601" s="2" t="str">
        <f>IF('Device Cables'!I604&lt;&gt;"",'Device Cables'!I604,"")</f>
        <v/>
      </c>
    </row>
    <row r="602" spans="1:2" x14ac:dyDescent="0.2">
      <c r="A602" s="2" t="str">
        <f>IF('Device Cables'!H605&lt;&gt;"",'Device Cables'!H605,"")</f>
        <v/>
      </c>
      <c r="B602" s="2" t="str">
        <f>IF('Device Cables'!I605&lt;&gt;"",'Device Cables'!I605,"")</f>
        <v/>
      </c>
    </row>
    <row r="603" spans="1:2" x14ac:dyDescent="0.2">
      <c r="A603" s="2" t="str">
        <f>IF('Device Cables'!H606&lt;&gt;"",'Device Cables'!H606,"")</f>
        <v/>
      </c>
      <c r="B603" s="2" t="str">
        <f>IF('Device Cables'!I606&lt;&gt;"",'Device Cables'!I606,"")</f>
        <v/>
      </c>
    </row>
    <row r="604" spans="1:2" x14ac:dyDescent="0.2">
      <c r="A604" s="2" t="str">
        <f>IF('Device Cables'!H607&lt;&gt;"",'Device Cables'!H607,"")</f>
        <v/>
      </c>
      <c r="B604" s="2" t="str">
        <f>IF('Device Cables'!I607&lt;&gt;"",'Device Cables'!I607,"")</f>
        <v/>
      </c>
    </row>
    <row r="605" spans="1:2" x14ac:dyDescent="0.2">
      <c r="A605" s="2" t="str">
        <f>IF('Device Cables'!H608&lt;&gt;"",'Device Cables'!H608,"")</f>
        <v/>
      </c>
      <c r="B605" s="2" t="str">
        <f>IF('Device Cables'!I608&lt;&gt;"",'Device Cables'!I608,"")</f>
        <v/>
      </c>
    </row>
    <row r="606" spans="1:2" x14ac:dyDescent="0.2">
      <c r="A606" s="2" t="str">
        <f>IF('Device Cables'!H609&lt;&gt;"",'Device Cables'!H609,"")</f>
        <v/>
      </c>
      <c r="B606" s="2" t="str">
        <f>IF('Device Cables'!I609&lt;&gt;"",'Device Cables'!I609,"")</f>
        <v/>
      </c>
    </row>
    <row r="607" spans="1:2" x14ac:dyDescent="0.2">
      <c r="A607" s="2" t="str">
        <f>IF('Device Cables'!H610&lt;&gt;"",'Device Cables'!H610,"")</f>
        <v/>
      </c>
      <c r="B607" s="2" t="str">
        <f>IF('Device Cables'!I610&lt;&gt;"",'Device Cables'!I610,"")</f>
        <v/>
      </c>
    </row>
    <row r="608" spans="1:2" x14ac:dyDescent="0.2">
      <c r="A608" s="2" t="str">
        <f>IF('Device Cables'!H611&lt;&gt;"",'Device Cables'!H611,"")</f>
        <v/>
      </c>
      <c r="B608" s="2" t="str">
        <f>IF('Device Cables'!I611&lt;&gt;"",'Device Cables'!I611,"")</f>
        <v/>
      </c>
    </row>
    <row r="609" spans="1:2" x14ac:dyDescent="0.2">
      <c r="A609" s="2" t="str">
        <f>IF('Device Cables'!H612&lt;&gt;"",'Device Cables'!H612,"")</f>
        <v/>
      </c>
      <c r="B609" s="2" t="str">
        <f>IF('Device Cables'!I612&lt;&gt;"",'Device Cables'!I612,"")</f>
        <v/>
      </c>
    </row>
    <row r="610" spans="1:2" x14ac:dyDescent="0.2">
      <c r="A610" s="2" t="str">
        <f>IF('Device Cables'!H613&lt;&gt;"",'Device Cables'!H613,"")</f>
        <v/>
      </c>
      <c r="B610" s="2" t="str">
        <f>IF('Device Cables'!I613&lt;&gt;"",'Device Cables'!I613,"")</f>
        <v/>
      </c>
    </row>
    <row r="611" spans="1:2" x14ac:dyDescent="0.2">
      <c r="A611" s="2" t="str">
        <f>IF('Device Cables'!H614&lt;&gt;"",'Device Cables'!H614,"")</f>
        <v/>
      </c>
      <c r="B611" s="2" t="str">
        <f>IF('Device Cables'!I614&lt;&gt;"",'Device Cables'!I614,"")</f>
        <v/>
      </c>
    </row>
    <row r="612" spans="1:2" x14ac:dyDescent="0.2">
      <c r="A612" s="2" t="str">
        <f>IF('Device Cables'!H615&lt;&gt;"",'Device Cables'!H615,"")</f>
        <v/>
      </c>
      <c r="B612" s="2" t="str">
        <f>IF('Device Cables'!I615&lt;&gt;"",'Device Cables'!I615,"")</f>
        <v/>
      </c>
    </row>
    <row r="613" spans="1:2" x14ac:dyDescent="0.2">
      <c r="A613" s="2" t="str">
        <f>IF('Device Cables'!H616&lt;&gt;"",'Device Cables'!H616,"")</f>
        <v/>
      </c>
      <c r="B613" s="2" t="str">
        <f>IF('Device Cables'!I616&lt;&gt;"",'Device Cables'!I616,"")</f>
        <v/>
      </c>
    </row>
    <row r="614" spans="1:2" x14ac:dyDescent="0.2">
      <c r="A614" s="2" t="str">
        <f>IF('Device Cables'!H617&lt;&gt;"",'Device Cables'!H617,"")</f>
        <v/>
      </c>
      <c r="B614" s="2" t="str">
        <f>IF('Device Cables'!I617&lt;&gt;"",'Device Cables'!I617,"")</f>
        <v/>
      </c>
    </row>
    <row r="615" spans="1:2" x14ac:dyDescent="0.2">
      <c r="A615" s="2" t="str">
        <f>IF('Device Cables'!H618&lt;&gt;"",'Device Cables'!H618,"")</f>
        <v/>
      </c>
      <c r="B615" s="2" t="str">
        <f>IF('Device Cables'!I618&lt;&gt;"",'Device Cables'!I618,"")</f>
        <v/>
      </c>
    </row>
    <row r="616" spans="1:2" x14ac:dyDescent="0.2">
      <c r="A616" s="2" t="str">
        <f>IF('Device Cables'!H619&lt;&gt;"",'Device Cables'!H619,"")</f>
        <v/>
      </c>
      <c r="B616" s="2" t="str">
        <f>IF('Device Cables'!I619&lt;&gt;"",'Device Cables'!I619,"")</f>
        <v/>
      </c>
    </row>
    <row r="617" spans="1:2" x14ac:dyDescent="0.2">
      <c r="A617" s="2" t="str">
        <f>IF('Device Cables'!H620&lt;&gt;"",'Device Cables'!H620,"")</f>
        <v/>
      </c>
      <c r="B617" s="2" t="str">
        <f>IF('Device Cables'!I620&lt;&gt;"",'Device Cables'!I620,"")</f>
        <v/>
      </c>
    </row>
    <row r="618" spans="1:2" x14ac:dyDescent="0.2">
      <c r="A618" s="2" t="str">
        <f>IF('Device Cables'!H621&lt;&gt;"",'Device Cables'!H621,"")</f>
        <v/>
      </c>
      <c r="B618" s="2" t="str">
        <f>IF('Device Cables'!I621&lt;&gt;"",'Device Cables'!I621,"")</f>
        <v/>
      </c>
    </row>
    <row r="619" spans="1:2" x14ac:dyDescent="0.2">
      <c r="A619" s="2" t="str">
        <f>IF('Device Cables'!H622&lt;&gt;"",'Device Cables'!H622,"")</f>
        <v/>
      </c>
      <c r="B619" s="2" t="str">
        <f>IF('Device Cables'!I622&lt;&gt;"",'Device Cables'!I622,"")</f>
        <v/>
      </c>
    </row>
    <row r="620" spans="1:2" x14ac:dyDescent="0.2">
      <c r="A620" s="2" t="str">
        <f>IF('Device Cables'!H623&lt;&gt;"",'Device Cables'!H623,"")</f>
        <v/>
      </c>
      <c r="B620" s="2" t="str">
        <f>IF('Device Cables'!I623&lt;&gt;"",'Device Cables'!I623,"")</f>
        <v/>
      </c>
    </row>
    <row r="621" spans="1:2" x14ac:dyDescent="0.2">
      <c r="A621" s="2" t="str">
        <f>IF('Device Cables'!H624&lt;&gt;"",'Device Cables'!H624,"")</f>
        <v/>
      </c>
      <c r="B621" s="2" t="str">
        <f>IF('Device Cables'!I624&lt;&gt;"",'Device Cables'!I624,"")</f>
        <v/>
      </c>
    </row>
    <row r="622" spans="1:2" x14ac:dyDescent="0.2">
      <c r="A622" s="2" t="str">
        <f>IF('Device Cables'!H625&lt;&gt;"",'Device Cables'!H625,"")</f>
        <v/>
      </c>
      <c r="B622" s="2" t="str">
        <f>IF('Device Cables'!I625&lt;&gt;"",'Device Cables'!I625,"")</f>
        <v/>
      </c>
    </row>
    <row r="623" spans="1:2" x14ac:dyDescent="0.2">
      <c r="A623" s="2" t="str">
        <f>IF('Device Cables'!H626&lt;&gt;"",'Device Cables'!H626,"")</f>
        <v/>
      </c>
      <c r="B623" s="2" t="str">
        <f>IF('Device Cables'!I626&lt;&gt;"",'Device Cables'!I626,"")</f>
        <v/>
      </c>
    </row>
    <row r="624" spans="1:2" x14ac:dyDescent="0.2">
      <c r="A624" s="2" t="str">
        <f>IF('Device Cables'!H627&lt;&gt;"",'Device Cables'!H627,"")</f>
        <v/>
      </c>
      <c r="B624" s="2" t="str">
        <f>IF('Device Cables'!I627&lt;&gt;"",'Device Cables'!I627,"")</f>
        <v/>
      </c>
    </row>
    <row r="625" spans="1:2" x14ac:dyDescent="0.2">
      <c r="A625" s="2" t="str">
        <f>IF('Device Cables'!H628&lt;&gt;"",'Device Cables'!H628,"")</f>
        <v/>
      </c>
      <c r="B625" s="2" t="str">
        <f>IF('Device Cables'!I628&lt;&gt;"",'Device Cables'!I628,"")</f>
        <v/>
      </c>
    </row>
    <row r="626" spans="1:2" x14ac:dyDescent="0.2">
      <c r="A626" s="2" t="str">
        <f>IF('Device Cables'!H629&lt;&gt;"",'Device Cables'!H629,"")</f>
        <v/>
      </c>
      <c r="B626" s="2" t="str">
        <f>IF('Device Cables'!I629&lt;&gt;"",'Device Cables'!I629,"")</f>
        <v/>
      </c>
    </row>
    <row r="627" spans="1:2" x14ac:dyDescent="0.2">
      <c r="A627" s="2" t="str">
        <f>IF('Device Cables'!H630&lt;&gt;"",'Device Cables'!H630,"")</f>
        <v/>
      </c>
      <c r="B627" s="2" t="str">
        <f>IF('Device Cables'!I630&lt;&gt;"",'Device Cables'!I630,"")</f>
        <v/>
      </c>
    </row>
    <row r="628" spans="1:2" x14ac:dyDescent="0.2">
      <c r="A628" s="2" t="str">
        <f>IF('Device Cables'!H631&lt;&gt;"",'Device Cables'!H631,"")</f>
        <v/>
      </c>
      <c r="B628" s="2" t="str">
        <f>IF('Device Cables'!I631&lt;&gt;"",'Device Cables'!I631,"")</f>
        <v/>
      </c>
    </row>
    <row r="629" spans="1:2" x14ac:dyDescent="0.2">
      <c r="A629" s="2" t="str">
        <f>IF('Device Cables'!H632&lt;&gt;"",'Device Cables'!H632,"")</f>
        <v/>
      </c>
      <c r="B629" s="2" t="str">
        <f>IF('Device Cables'!I632&lt;&gt;"",'Device Cables'!I632,"")</f>
        <v/>
      </c>
    </row>
    <row r="630" spans="1:2" x14ac:dyDescent="0.2">
      <c r="A630" s="2" t="str">
        <f>IF('Device Cables'!H633&lt;&gt;"",'Device Cables'!H633,"")</f>
        <v/>
      </c>
      <c r="B630" s="2" t="str">
        <f>IF('Device Cables'!I633&lt;&gt;"",'Device Cables'!I633,"")</f>
        <v/>
      </c>
    </row>
    <row r="631" spans="1:2" x14ac:dyDescent="0.2">
      <c r="A631" s="2" t="str">
        <f>IF('Device Cables'!H634&lt;&gt;"",'Device Cables'!H634,"")</f>
        <v/>
      </c>
      <c r="B631" s="2" t="str">
        <f>IF('Device Cables'!I634&lt;&gt;"",'Device Cables'!I634,"")</f>
        <v/>
      </c>
    </row>
    <row r="632" spans="1:2" x14ac:dyDescent="0.2">
      <c r="A632" s="2" t="str">
        <f>IF('Device Cables'!H635&lt;&gt;"",'Device Cables'!H635,"")</f>
        <v/>
      </c>
      <c r="B632" s="2" t="str">
        <f>IF('Device Cables'!I635&lt;&gt;"",'Device Cables'!I635,"")</f>
        <v/>
      </c>
    </row>
    <row r="633" spans="1:2" x14ac:dyDescent="0.2">
      <c r="A633" s="2" t="str">
        <f>IF('Device Cables'!H636&lt;&gt;"",'Device Cables'!H636,"")</f>
        <v/>
      </c>
      <c r="B633" s="2" t="str">
        <f>IF('Device Cables'!I636&lt;&gt;"",'Device Cables'!I636,"")</f>
        <v/>
      </c>
    </row>
    <row r="634" spans="1:2" x14ac:dyDescent="0.2">
      <c r="A634" s="2" t="str">
        <f>IF('Device Cables'!H637&lt;&gt;"",'Device Cables'!H637,"")</f>
        <v/>
      </c>
      <c r="B634" s="2" t="str">
        <f>IF('Device Cables'!I637&lt;&gt;"",'Device Cables'!I637,"")</f>
        <v/>
      </c>
    </row>
    <row r="635" spans="1:2" x14ac:dyDescent="0.2">
      <c r="A635" s="2" t="str">
        <f>IF('Device Cables'!H638&lt;&gt;"",'Device Cables'!H638,"")</f>
        <v/>
      </c>
      <c r="B635" s="2" t="str">
        <f>IF('Device Cables'!I638&lt;&gt;"",'Device Cables'!I638,"")</f>
        <v/>
      </c>
    </row>
    <row r="636" spans="1:2" x14ac:dyDescent="0.2">
      <c r="A636" s="2" t="str">
        <f>IF('Device Cables'!H639&lt;&gt;"",'Device Cables'!H639,"")</f>
        <v/>
      </c>
      <c r="B636" s="2" t="str">
        <f>IF('Device Cables'!I639&lt;&gt;"",'Device Cables'!I639,"")</f>
        <v/>
      </c>
    </row>
    <row r="637" spans="1:2" x14ac:dyDescent="0.2">
      <c r="A637" s="2" t="str">
        <f>IF('Device Cables'!H640&lt;&gt;"",'Device Cables'!H640,"")</f>
        <v/>
      </c>
      <c r="B637" s="2" t="str">
        <f>IF('Device Cables'!I640&lt;&gt;"",'Device Cables'!I640,"")</f>
        <v/>
      </c>
    </row>
    <row r="638" spans="1:2" x14ac:dyDescent="0.2">
      <c r="A638" s="2" t="str">
        <f>IF('Device Cables'!H641&lt;&gt;"",'Device Cables'!H641,"")</f>
        <v/>
      </c>
      <c r="B638" s="2" t="str">
        <f>IF('Device Cables'!I641&lt;&gt;"",'Device Cables'!I641,"")</f>
        <v/>
      </c>
    </row>
    <row r="639" spans="1:2" x14ac:dyDescent="0.2">
      <c r="A639" s="2" t="str">
        <f>IF('Device Cables'!H642&lt;&gt;"",'Device Cables'!H642,"")</f>
        <v/>
      </c>
      <c r="B639" s="2" t="str">
        <f>IF('Device Cables'!I642&lt;&gt;"",'Device Cables'!I642,"")</f>
        <v/>
      </c>
    </row>
    <row r="640" spans="1:2" x14ac:dyDescent="0.2">
      <c r="A640" s="2" t="str">
        <f>IF('Device Cables'!H643&lt;&gt;"",'Device Cables'!H643,"")</f>
        <v/>
      </c>
      <c r="B640" s="2" t="str">
        <f>IF('Device Cables'!I643&lt;&gt;"",'Device Cables'!I643,"")</f>
        <v/>
      </c>
    </row>
    <row r="641" spans="1:2" x14ac:dyDescent="0.2">
      <c r="A641" s="2" t="str">
        <f>IF('Device Cables'!H644&lt;&gt;"",'Device Cables'!H644,"")</f>
        <v/>
      </c>
      <c r="B641" s="2" t="str">
        <f>IF('Device Cables'!I644&lt;&gt;"",'Device Cables'!I644,"")</f>
        <v/>
      </c>
    </row>
    <row r="642" spans="1:2" x14ac:dyDescent="0.2">
      <c r="A642" s="2" t="str">
        <f>IF('Device Cables'!H645&lt;&gt;"",'Device Cables'!H645,"")</f>
        <v/>
      </c>
      <c r="B642" s="2" t="str">
        <f>IF('Device Cables'!I645&lt;&gt;"",'Device Cables'!I645,"")</f>
        <v/>
      </c>
    </row>
    <row r="643" spans="1:2" x14ac:dyDescent="0.2">
      <c r="A643" s="2" t="str">
        <f>IF('Device Cables'!H646&lt;&gt;"",'Device Cables'!H646,"")</f>
        <v/>
      </c>
      <c r="B643" s="2" t="str">
        <f>IF('Device Cables'!I646&lt;&gt;"",'Device Cables'!I646,"")</f>
        <v/>
      </c>
    </row>
    <row r="644" spans="1:2" x14ac:dyDescent="0.2">
      <c r="A644" s="2" t="str">
        <f>IF('Device Cables'!H647&lt;&gt;"",'Device Cables'!H647,"")</f>
        <v/>
      </c>
      <c r="B644" s="2" t="str">
        <f>IF('Device Cables'!I647&lt;&gt;"",'Device Cables'!I647,"")</f>
        <v/>
      </c>
    </row>
    <row r="645" spans="1:2" x14ac:dyDescent="0.2">
      <c r="A645" s="2" t="str">
        <f>IF('Device Cables'!H648&lt;&gt;"",'Device Cables'!H648,"")</f>
        <v/>
      </c>
      <c r="B645" s="2" t="str">
        <f>IF('Device Cables'!I648&lt;&gt;"",'Device Cables'!I648,"")</f>
        <v/>
      </c>
    </row>
    <row r="646" spans="1:2" x14ac:dyDescent="0.2">
      <c r="A646" s="2" t="str">
        <f>IF('Device Cables'!H649&lt;&gt;"",'Device Cables'!H649,"")</f>
        <v/>
      </c>
      <c r="B646" s="2" t="str">
        <f>IF('Device Cables'!I649&lt;&gt;"",'Device Cables'!I649,"")</f>
        <v/>
      </c>
    </row>
    <row r="647" spans="1:2" x14ac:dyDescent="0.2">
      <c r="A647" s="2" t="str">
        <f>IF('Device Cables'!H650&lt;&gt;"",'Device Cables'!H650,"")</f>
        <v/>
      </c>
      <c r="B647" s="2" t="str">
        <f>IF('Device Cables'!I650&lt;&gt;"",'Device Cables'!I650,"")</f>
        <v/>
      </c>
    </row>
    <row r="648" spans="1:2" x14ac:dyDescent="0.2">
      <c r="A648" s="2" t="str">
        <f>IF('Device Cables'!H651&lt;&gt;"",'Device Cables'!H651,"")</f>
        <v/>
      </c>
      <c r="B648" s="2" t="str">
        <f>IF('Device Cables'!I651&lt;&gt;"",'Device Cables'!I651,"")</f>
        <v/>
      </c>
    </row>
    <row r="649" spans="1:2" x14ac:dyDescent="0.2">
      <c r="A649" s="2" t="str">
        <f>IF('Device Cables'!H652&lt;&gt;"",'Device Cables'!H652,"")</f>
        <v/>
      </c>
      <c r="B649" s="2" t="str">
        <f>IF('Device Cables'!I652&lt;&gt;"",'Device Cables'!I652,"")</f>
        <v/>
      </c>
    </row>
    <row r="650" spans="1:2" x14ac:dyDescent="0.2">
      <c r="A650" s="2" t="str">
        <f>IF('Device Cables'!H653&lt;&gt;"",'Device Cables'!H653,"")</f>
        <v/>
      </c>
      <c r="B650" s="2" t="str">
        <f>IF('Device Cables'!I653&lt;&gt;"",'Device Cables'!I653,"")</f>
        <v/>
      </c>
    </row>
    <row r="651" spans="1:2" x14ac:dyDescent="0.2">
      <c r="A651" s="2" t="str">
        <f>IF('Device Cables'!H654&lt;&gt;"",'Device Cables'!H654,"")</f>
        <v/>
      </c>
      <c r="B651" s="2" t="str">
        <f>IF('Device Cables'!I654&lt;&gt;"",'Device Cables'!I654,"")</f>
        <v/>
      </c>
    </row>
    <row r="652" spans="1:2" x14ac:dyDescent="0.2">
      <c r="A652" s="2" t="str">
        <f>IF('Device Cables'!H655&lt;&gt;"",'Device Cables'!H655,"")</f>
        <v/>
      </c>
      <c r="B652" s="2" t="str">
        <f>IF('Device Cables'!I655&lt;&gt;"",'Device Cables'!I655,"")</f>
        <v/>
      </c>
    </row>
    <row r="653" spans="1:2" x14ac:dyDescent="0.2">
      <c r="A653" s="2" t="str">
        <f>IF('Device Cables'!H656&lt;&gt;"",'Device Cables'!H656,"")</f>
        <v/>
      </c>
      <c r="B653" s="2" t="str">
        <f>IF('Device Cables'!I656&lt;&gt;"",'Device Cables'!I656,"")</f>
        <v/>
      </c>
    </row>
    <row r="654" spans="1:2" x14ac:dyDescent="0.2">
      <c r="A654" s="2" t="str">
        <f>IF('Device Cables'!H657&lt;&gt;"",'Device Cables'!H657,"")</f>
        <v/>
      </c>
      <c r="B654" s="2" t="str">
        <f>IF('Device Cables'!I657&lt;&gt;"",'Device Cables'!I657,"")</f>
        <v/>
      </c>
    </row>
    <row r="655" spans="1:2" x14ac:dyDescent="0.2">
      <c r="A655" s="2" t="str">
        <f>IF('Device Cables'!H658&lt;&gt;"",'Device Cables'!H658,"")</f>
        <v/>
      </c>
      <c r="B655" s="2" t="str">
        <f>IF('Device Cables'!I658&lt;&gt;"",'Device Cables'!I658,"")</f>
        <v/>
      </c>
    </row>
    <row r="656" spans="1:2" x14ac:dyDescent="0.2">
      <c r="A656" s="2" t="str">
        <f>IF('Device Cables'!H659&lt;&gt;"",'Device Cables'!H659,"")</f>
        <v/>
      </c>
      <c r="B656" s="2" t="str">
        <f>IF('Device Cables'!I659&lt;&gt;"",'Device Cables'!I659,"")</f>
        <v/>
      </c>
    </row>
    <row r="657" spans="1:2" x14ac:dyDescent="0.2">
      <c r="A657" s="2" t="str">
        <f>IF('Device Cables'!H660&lt;&gt;"",'Device Cables'!H660,"")</f>
        <v/>
      </c>
      <c r="B657" s="2" t="str">
        <f>IF('Device Cables'!I660&lt;&gt;"",'Device Cables'!I660,"")</f>
        <v/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5D29-C482-4953-932C-0AC1F21BAC87}">
  <sheetPr codeName="Sheet8">
    <tabColor rgb="FF92D050"/>
  </sheetPr>
  <dimension ref="A1:B152"/>
  <sheetViews>
    <sheetView view="pageBreakPreview" zoomScaleNormal="120" zoomScaleSheetLayoutView="100" workbookViewId="0">
      <selection activeCell="D32" sqref="D32"/>
    </sheetView>
  </sheetViews>
  <sheetFormatPr defaultColWidth="9.140625" defaultRowHeight="12.75" x14ac:dyDescent="0.2"/>
  <cols>
    <col min="1" max="1" width="14.5703125" style="2" bestFit="1" customWidth="1"/>
    <col min="2" max="4" width="11.28515625" style="2" customWidth="1"/>
    <col min="5" max="5" width="20.140625" style="2" bestFit="1" customWidth="1"/>
    <col min="6" max="16384" width="9.140625" style="2"/>
  </cols>
  <sheetData>
    <row r="1" spans="1:2" s="83" customFormat="1" x14ac:dyDescent="0.2">
      <c r="A1" s="83" t="s">
        <v>64</v>
      </c>
      <c r="B1" s="83" t="s">
        <v>16</v>
      </c>
    </row>
    <row r="2" spans="1:2" x14ac:dyDescent="0.2">
      <c r="A2" s="2" t="str" cm="1">
        <f t="array" ref="A2:A21">_xlfn.UNIQUE(_xlfn._xlws.FILTER('Device Cables'!T5:T48,'Device Cables'!T5:T48&lt;&gt;""))</f>
        <v>SR05-5</v>
      </c>
      <c r="B2" s="2">
        <f t="shared" ref="B2:B43" si="0">IF(A2&lt;&gt;"",5,"")</f>
        <v>5</v>
      </c>
    </row>
    <row r="3" spans="1:2" x14ac:dyDescent="0.2">
      <c r="A3" s="2" t="str">
        <v>NT05-1</v>
      </c>
      <c r="B3" s="2">
        <f t="shared" si="0"/>
        <v>5</v>
      </c>
    </row>
    <row r="4" spans="1:2" x14ac:dyDescent="0.2">
      <c r="A4" s="2" t="str">
        <v>NT05-2</v>
      </c>
      <c r="B4" s="2">
        <f t="shared" si="0"/>
        <v>5</v>
      </c>
    </row>
    <row r="5" spans="1:2" x14ac:dyDescent="0.2">
      <c r="A5" s="2" t="str">
        <v>SR06-6</v>
      </c>
      <c r="B5" s="2">
        <f t="shared" si="0"/>
        <v>5</v>
      </c>
    </row>
    <row r="6" spans="1:2" x14ac:dyDescent="0.2">
      <c r="A6" s="2" t="str">
        <v>NT06-1</v>
      </c>
      <c r="B6" s="2">
        <f t="shared" si="0"/>
        <v>5</v>
      </c>
    </row>
    <row r="7" spans="1:2" x14ac:dyDescent="0.2">
      <c r="A7" s="2" t="str">
        <v>NT06-2</v>
      </c>
      <c r="B7" s="2">
        <f t="shared" si="0"/>
        <v>5</v>
      </c>
    </row>
    <row r="8" spans="1:2" x14ac:dyDescent="0.2">
      <c r="A8" s="2" t="str">
        <v>SF-1</v>
      </c>
      <c r="B8" s="2">
        <f t="shared" si="0"/>
        <v>5</v>
      </c>
    </row>
    <row r="9" spans="1:2" x14ac:dyDescent="0.2">
      <c r="A9" s="2" t="str">
        <v>SF-3</v>
      </c>
      <c r="B9" s="2">
        <f t="shared" si="0"/>
        <v>5</v>
      </c>
    </row>
    <row r="10" spans="1:2" x14ac:dyDescent="0.2">
      <c r="A10" s="2" t="str">
        <v>SLA-1</v>
      </c>
      <c r="B10" s="2">
        <f t="shared" si="0"/>
        <v>5</v>
      </c>
    </row>
    <row r="11" spans="1:2" x14ac:dyDescent="0.2">
      <c r="A11" s="2" t="str">
        <v>SLA-3</v>
      </c>
      <c r="B11" s="2">
        <f t="shared" si="0"/>
        <v>5</v>
      </c>
    </row>
    <row r="12" spans="1:2" x14ac:dyDescent="0.2">
      <c r="A12" s="2" t="str">
        <v>SF-2</v>
      </c>
      <c r="B12" s="2">
        <f t="shared" si="0"/>
        <v>5</v>
      </c>
    </row>
    <row r="13" spans="1:2" x14ac:dyDescent="0.2">
      <c r="A13" s="2" t="str">
        <v>SF-4</v>
      </c>
      <c r="B13" s="2">
        <f t="shared" si="0"/>
        <v>5</v>
      </c>
    </row>
    <row r="14" spans="1:2" x14ac:dyDescent="0.2">
      <c r="A14" s="2" t="str">
        <v>SLA-2</v>
      </c>
      <c r="B14" s="2">
        <f t="shared" si="0"/>
        <v>5</v>
      </c>
    </row>
    <row r="15" spans="1:2" x14ac:dyDescent="0.2">
      <c r="A15" s="2" t="str">
        <v>SLA-4</v>
      </c>
      <c r="B15" s="2">
        <f t="shared" si="0"/>
        <v>5</v>
      </c>
    </row>
    <row r="16" spans="1:2" x14ac:dyDescent="0.2">
      <c r="A16" s="2" t="str">
        <v>MS-1</v>
      </c>
      <c r="B16" s="2">
        <f t="shared" si="0"/>
        <v>5</v>
      </c>
    </row>
    <row r="17" spans="1:2" x14ac:dyDescent="0.2">
      <c r="A17" s="2" t="str">
        <v>MS-4</v>
      </c>
      <c r="B17" s="2">
        <f t="shared" si="0"/>
        <v>5</v>
      </c>
    </row>
    <row r="18" spans="1:2" x14ac:dyDescent="0.2">
      <c r="A18" s="2" t="str">
        <v>MS-5</v>
      </c>
      <c r="B18" s="2">
        <f t="shared" si="0"/>
        <v>5</v>
      </c>
    </row>
    <row r="19" spans="1:2" x14ac:dyDescent="0.2">
      <c r="A19" s="2" t="str">
        <v>MS-2</v>
      </c>
      <c r="B19" s="2">
        <f t="shared" si="0"/>
        <v>5</v>
      </c>
    </row>
    <row r="20" spans="1:2" x14ac:dyDescent="0.2">
      <c r="A20" s="2" t="str">
        <v>MS-3</v>
      </c>
      <c r="B20" s="2">
        <f t="shared" si="0"/>
        <v>5</v>
      </c>
    </row>
    <row r="21" spans="1:2" x14ac:dyDescent="0.2">
      <c r="A21" s="2" t="str">
        <v>MS-6</v>
      </c>
      <c r="B21" s="2">
        <f t="shared" si="0"/>
        <v>5</v>
      </c>
    </row>
    <row r="22" spans="1:2" x14ac:dyDescent="0.2">
      <c r="B22" s="2" t="str">
        <f t="shared" si="0"/>
        <v/>
      </c>
    </row>
    <row r="23" spans="1:2" x14ac:dyDescent="0.2">
      <c r="B23" s="2" t="str">
        <f t="shared" si="0"/>
        <v/>
      </c>
    </row>
    <row r="24" spans="1:2" x14ac:dyDescent="0.2">
      <c r="B24" s="2" t="str">
        <f t="shared" si="0"/>
        <v/>
      </c>
    </row>
    <row r="25" spans="1:2" x14ac:dyDescent="0.2">
      <c r="B25" s="2" t="str">
        <f t="shared" si="0"/>
        <v/>
      </c>
    </row>
    <row r="26" spans="1:2" x14ac:dyDescent="0.2">
      <c r="B26" s="2" t="str">
        <f t="shared" si="0"/>
        <v/>
      </c>
    </row>
    <row r="27" spans="1:2" x14ac:dyDescent="0.2">
      <c r="A27" s="83"/>
      <c r="B27" s="2" t="str">
        <f t="shared" si="0"/>
        <v/>
      </c>
    </row>
    <row r="28" spans="1:2" x14ac:dyDescent="0.2">
      <c r="A28" s="83"/>
      <c r="B28" s="2" t="str">
        <f t="shared" si="0"/>
        <v/>
      </c>
    </row>
    <row r="29" spans="1:2" x14ac:dyDescent="0.2">
      <c r="A29" s="83"/>
      <c r="B29" s="2" t="str">
        <f t="shared" si="0"/>
        <v/>
      </c>
    </row>
    <row r="30" spans="1:2" x14ac:dyDescent="0.2">
      <c r="A30" s="83"/>
      <c r="B30" s="2" t="str">
        <f t="shared" si="0"/>
        <v/>
      </c>
    </row>
    <row r="31" spans="1:2" x14ac:dyDescent="0.2">
      <c r="A31" s="83"/>
      <c r="B31" s="2" t="str">
        <f t="shared" si="0"/>
        <v/>
      </c>
    </row>
    <row r="32" spans="1:2" x14ac:dyDescent="0.2">
      <c r="A32" s="83"/>
      <c r="B32" s="2" t="str">
        <f t="shared" si="0"/>
        <v/>
      </c>
    </row>
    <row r="33" spans="1:2" x14ac:dyDescent="0.2">
      <c r="A33" s="83"/>
      <c r="B33" s="2" t="str">
        <f t="shared" si="0"/>
        <v/>
      </c>
    </row>
    <row r="34" spans="1:2" x14ac:dyDescent="0.2">
      <c r="A34" s="83"/>
      <c r="B34" s="2" t="str">
        <f t="shared" si="0"/>
        <v/>
      </c>
    </row>
    <row r="35" spans="1:2" x14ac:dyDescent="0.2">
      <c r="A35" s="83"/>
      <c r="B35" s="2" t="str">
        <f t="shared" si="0"/>
        <v/>
      </c>
    </row>
    <row r="36" spans="1:2" x14ac:dyDescent="0.2">
      <c r="A36" s="83"/>
      <c r="B36" s="2" t="str">
        <f t="shared" si="0"/>
        <v/>
      </c>
    </row>
    <row r="37" spans="1:2" x14ac:dyDescent="0.2">
      <c r="A37" s="83"/>
      <c r="B37" s="2" t="str">
        <f t="shared" si="0"/>
        <v/>
      </c>
    </row>
    <row r="38" spans="1:2" x14ac:dyDescent="0.2">
      <c r="A38" s="83"/>
      <c r="B38" s="2" t="str">
        <f t="shared" si="0"/>
        <v/>
      </c>
    </row>
    <row r="39" spans="1:2" x14ac:dyDescent="0.2">
      <c r="A39" s="83"/>
      <c r="B39" s="2" t="str">
        <f t="shared" si="0"/>
        <v/>
      </c>
    </row>
    <row r="40" spans="1:2" x14ac:dyDescent="0.2">
      <c r="A40" s="83"/>
      <c r="B40" s="2" t="str">
        <f t="shared" si="0"/>
        <v/>
      </c>
    </row>
    <row r="41" spans="1:2" x14ac:dyDescent="0.2">
      <c r="A41" s="83"/>
      <c r="B41" s="2" t="str">
        <f t="shared" si="0"/>
        <v/>
      </c>
    </row>
    <row r="42" spans="1:2" x14ac:dyDescent="0.2">
      <c r="A42" s="83"/>
      <c r="B42" s="2" t="str">
        <f t="shared" si="0"/>
        <v/>
      </c>
    </row>
    <row r="43" spans="1:2" x14ac:dyDescent="0.2">
      <c r="A43" s="83"/>
      <c r="B43" s="2" t="str">
        <f t="shared" si="0"/>
        <v/>
      </c>
    </row>
    <row r="44" spans="1:2" x14ac:dyDescent="0.2">
      <c r="A44" s="83"/>
    </row>
    <row r="45" spans="1:2" x14ac:dyDescent="0.2">
      <c r="A45" s="83"/>
    </row>
    <row r="46" spans="1:2" x14ac:dyDescent="0.2">
      <c r="A46" s="83"/>
    </row>
    <row r="47" spans="1:2" x14ac:dyDescent="0.2">
      <c r="A47" s="83"/>
    </row>
    <row r="48" spans="1:2" x14ac:dyDescent="0.2">
      <c r="A48" s="83"/>
    </row>
    <row r="49" spans="1:1" x14ac:dyDescent="0.2">
      <c r="A49" s="83"/>
    </row>
    <row r="50" spans="1:1" x14ac:dyDescent="0.2">
      <c r="A50" s="83"/>
    </row>
    <row r="51" spans="1:1" x14ac:dyDescent="0.2">
      <c r="A51" s="83"/>
    </row>
    <row r="52" spans="1:1" x14ac:dyDescent="0.2">
      <c r="A52" s="83"/>
    </row>
    <row r="53" spans="1:1" x14ac:dyDescent="0.2">
      <c r="A53" s="83"/>
    </row>
    <row r="54" spans="1:1" x14ac:dyDescent="0.2">
      <c r="A54" s="83"/>
    </row>
    <row r="55" spans="1:1" x14ac:dyDescent="0.2">
      <c r="A55" s="83"/>
    </row>
    <row r="56" spans="1:1" x14ac:dyDescent="0.2">
      <c r="A56" s="83"/>
    </row>
    <row r="57" spans="1:1" x14ac:dyDescent="0.2">
      <c r="A57" s="83"/>
    </row>
    <row r="58" spans="1:1" x14ac:dyDescent="0.2">
      <c r="A58" s="83"/>
    </row>
    <row r="59" spans="1:1" x14ac:dyDescent="0.2">
      <c r="A59" s="83"/>
    </row>
    <row r="60" spans="1:1" x14ac:dyDescent="0.2">
      <c r="A60" s="83"/>
    </row>
    <row r="61" spans="1:1" x14ac:dyDescent="0.2">
      <c r="A61" s="83"/>
    </row>
    <row r="62" spans="1:1" x14ac:dyDescent="0.2">
      <c r="A62" s="83"/>
    </row>
    <row r="63" spans="1:1" x14ac:dyDescent="0.2">
      <c r="A63" s="83"/>
    </row>
    <row r="64" spans="1:1" x14ac:dyDescent="0.2">
      <c r="A64" s="83"/>
    </row>
    <row r="65" spans="1:1" x14ac:dyDescent="0.2">
      <c r="A65" s="83"/>
    </row>
    <row r="66" spans="1:1" x14ac:dyDescent="0.2">
      <c r="A66" s="83"/>
    </row>
    <row r="67" spans="1:1" x14ac:dyDescent="0.2">
      <c r="A67" s="83"/>
    </row>
    <row r="68" spans="1:1" x14ac:dyDescent="0.2">
      <c r="A68" s="83"/>
    </row>
    <row r="69" spans="1:1" x14ac:dyDescent="0.2">
      <c r="A69" s="83"/>
    </row>
    <row r="70" spans="1:1" x14ac:dyDescent="0.2">
      <c r="A70" s="83"/>
    </row>
    <row r="71" spans="1:1" x14ac:dyDescent="0.2">
      <c r="A71" s="83"/>
    </row>
    <row r="72" spans="1:1" x14ac:dyDescent="0.2">
      <c r="A72" s="83"/>
    </row>
    <row r="73" spans="1:1" x14ac:dyDescent="0.2">
      <c r="A73" s="83"/>
    </row>
    <row r="74" spans="1:1" x14ac:dyDescent="0.2">
      <c r="A74" s="83"/>
    </row>
    <row r="75" spans="1:1" x14ac:dyDescent="0.2">
      <c r="A75" s="83"/>
    </row>
    <row r="76" spans="1:1" x14ac:dyDescent="0.2">
      <c r="A76" s="83"/>
    </row>
    <row r="77" spans="1:1" x14ac:dyDescent="0.2">
      <c r="A77" s="83"/>
    </row>
    <row r="78" spans="1:1" x14ac:dyDescent="0.2">
      <c r="A78" s="83"/>
    </row>
    <row r="79" spans="1:1" x14ac:dyDescent="0.2">
      <c r="A79" s="83"/>
    </row>
    <row r="80" spans="1:1" x14ac:dyDescent="0.2">
      <c r="A80" s="83"/>
    </row>
    <row r="81" spans="1:1" x14ac:dyDescent="0.2">
      <c r="A81" s="83"/>
    </row>
    <row r="82" spans="1:1" x14ac:dyDescent="0.2">
      <c r="A82" s="83"/>
    </row>
    <row r="83" spans="1:1" x14ac:dyDescent="0.2">
      <c r="A83" s="83"/>
    </row>
    <row r="84" spans="1:1" x14ac:dyDescent="0.2">
      <c r="A84" s="83"/>
    </row>
    <row r="85" spans="1:1" x14ac:dyDescent="0.2">
      <c r="A85" s="83"/>
    </row>
    <row r="86" spans="1:1" x14ac:dyDescent="0.2">
      <c r="A86" s="83"/>
    </row>
    <row r="87" spans="1:1" x14ac:dyDescent="0.2">
      <c r="A87" s="83"/>
    </row>
    <row r="88" spans="1:1" x14ac:dyDescent="0.2">
      <c r="A88" s="83"/>
    </row>
    <row r="89" spans="1:1" x14ac:dyDescent="0.2">
      <c r="A89" s="83"/>
    </row>
    <row r="90" spans="1:1" x14ac:dyDescent="0.2">
      <c r="A90" s="83"/>
    </row>
    <row r="91" spans="1:1" x14ac:dyDescent="0.2">
      <c r="A91" s="83"/>
    </row>
    <row r="92" spans="1:1" x14ac:dyDescent="0.2">
      <c r="A92" s="83"/>
    </row>
    <row r="93" spans="1:1" x14ac:dyDescent="0.2">
      <c r="A93" s="83"/>
    </row>
    <row r="94" spans="1:1" x14ac:dyDescent="0.2">
      <c r="A94" s="83"/>
    </row>
    <row r="95" spans="1:1" x14ac:dyDescent="0.2">
      <c r="A95" s="83"/>
    </row>
    <row r="96" spans="1:1" x14ac:dyDescent="0.2">
      <c r="A96" s="83"/>
    </row>
    <row r="97" spans="1:1" x14ac:dyDescent="0.2">
      <c r="A97" s="83"/>
    </row>
    <row r="98" spans="1:1" x14ac:dyDescent="0.2">
      <c r="A98" s="83"/>
    </row>
    <row r="99" spans="1:1" x14ac:dyDescent="0.2">
      <c r="A99" s="83"/>
    </row>
    <row r="100" spans="1:1" x14ac:dyDescent="0.2">
      <c r="A100" s="83"/>
    </row>
    <row r="101" spans="1:1" x14ac:dyDescent="0.2">
      <c r="A101" s="83"/>
    </row>
    <row r="102" spans="1:1" x14ac:dyDescent="0.2">
      <c r="A102" s="83"/>
    </row>
    <row r="103" spans="1:1" x14ac:dyDescent="0.2">
      <c r="A103" s="83"/>
    </row>
    <row r="104" spans="1:1" x14ac:dyDescent="0.2">
      <c r="A104" s="83"/>
    </row>
    <row r="105" spans="1:1" x14ac:dyDescent="0.2">
      <c r="A105" s="83"/>
    </row>
    <row r="106" spans="1:1" x14ac:dyDescent="0.2">
      <c r="A106" s="83"/>
    </row>
    <row r="107" spans="1:1" x14ac:dyDescent="0.2">
      <c r="A107" s="83"/>
    </row>
    <row r="108" spans="1:1" x14ac:dyDescent="0.2">
      <c r="A108" s="83"/>
    </row>
    <row r="109" spans="1:1" x14ac:dyDescent="0.2">
      <c r="A109" s="83"/>
    </row>
    <row r="110" spans="1:1" x14ac:dyDescent="0.2">
      <c r="A110" s="83"/>
    </row>
    <row r="111" spans="1:1" x14ac:dyDescent="0.2">
      <c r="A111" s="83"/>
    </row>
    <row r="112" spans="1:1" x14ac:dyDescent="0.2">
      <c r="A112" s="83"/>
    </row>
    <row r="113" spans="1:1" x14ac:dyDescent="0.2">
      <c r="A113" s="83"/>
    </row>
    <row r="114" spans="1:1" x14ac:dyDescent="0.2">
      <c r="A114" s="83"/>
    </row>
    <row r="115" spans="1:1" x14ac:dyDescent="0.2">
      <c r="A115" s="83"/>
    </row>
    <row r="116" spans="1:1" x14ac:dyDescent="0.2">
      <c r="A116" s="83"/>
    </row>
    <row r="117" spans="1:1" x14ac:dyDescent="0.2">
      <c r="A117" s="83"/>
    </row>
    <row r="118" spans="1:1" x14ac:dyDescent="0.2">
      <c r="A118" s="83"/>
    </row>
    <row r="119" spans="1:1" x14ac:dyDescent="0.2">
      <c r="A119" s="83"/>
    </row>
    <row r="120" spans="1:1" x14ac:dyDescent="0.2">
      <c r="A120" s="83"/>
    </row>
    <row r="121" spans="1:1" x14ac:dyDescent="0.2">
      <c r="A121" s="83"/>
    </row>
    <row r="122" spans="1:1" x14ac:dyDescent="0.2">
      <c r="A122" s="83"/>
    </row>
    <row r="123" spans="1:1" x14ac:dyDescent="0.2">
      <c r="A123" s="83"/>
    </row>
    <row r="124" spans="1:1" x14ac:dyDescent="0.2">
      <c r="A124" s="83"/>
    </row>
    <row r="125" spans="1:1" x14ac:dyDescent="0.2">
      <c r="A125" s="83"/>
    </row>
    <row r="126" spans="1:1" x14ac:dyDescent="0.2">
      <c r="A126" s="83"/>
    </row>
    <row r="127" spans="1:1" x14ac:dyDescent="0.2">
      <c r="A127" s="83"/>
    </row>
    <row r="128" spans="1:1" x14ac:dyDescent="0.2">
      <c r="A128" s="83"/>
    </row>
    <row r="129" spans="1:1" x14ac:dyDescent="0.2">
      <c r="A129" s="83"/>
    </row>
    <row r="130" spans="1:1" x14ac:dyDescent="0.2">
      <c r="A130" s="83"/>
    </row>
    <row r="131" spans="1:1" x14ac:dyDescent="0.2">
      <c r="A131" s="83"/>
    </row>
    <row r="132" spans="1:1" x14ac:dyDescent="0.2">
      <c r="A132" s="83"/>
    </row>
    <row r="133" spans="1:1" x14ac:dyDescent="0.2">
      <c r="A133" s="83"/>
    </row>
    <row r="134" spans="1:1" x14ac:dyDescent="0.2">
      <c r="A134" s="83"/>
    </row>
    <row r="135" spans="1:1" x14ac:dyDescent="0.2">
      <c r="A135" s="83"/>
    </row>
    <row r="136" spans="1:1" x14ac:dyDescent="0.2">
      <c r="A136" s="83"/>
    </row>
    <row r="137" spans="1:1" x14ac:dyDescent="0.2">
      <c r="A137" s="83"/>
    </row>
    <row r="138" spans="1:1" x14ac:dyDescent="0.2">
      <c r="A138" s="83"/>
    </row>
    <row r="139" spans="1:1" x14ac:dyDescent="0.2">
      <c r="A139" s="83"/>
    </row>
    <row r="140" spans="1:1" x14ac:dyDescent="0.2">
      <c r="A140" s="83"/>
    </row>
    <row r="141" spans="1:1" x14ac:dyDescent="0.2">
      <c r="A141" s="83"/>
    </row>
    <row r="142" spans="1:1" x14ac:dyDescent="0.2">
      <c r="A142" s="83"/>
    </row>
    <row r="143" spans="1:1" x14ac:dyDescent="0.2">
      <c r="A143" s="83"/>
    </row>
    <row r="144" spans="1:1" x14ac:dyDescent="0.2">
      <c r="A144" s="83"/>
    </row>
    <row r="145" spans="1:1" x14ac:dyDescent="0.2">
      <c r="A145" s="83"/>
    </row>
    <row r="146" spans="1:1" x14ac:dyDescent="0.2">
      <c r="A146" s="83"/>
    </row>
    <row r="147" spans="1:1" x14ac:dyDescent="0.2">
      <c r="A147" s="83"/>
    </row>
    <row r="148" spans="1:1" x14ac:dyDescent="0.2">
      <c r="A148" s="83"/>
    </row>
    <row r="149" spans="1:1" x14ac:dyDescent="0.2">
      <c r="A149" s="83"/>
    </row>
    <row r="150" spans="1:1" x14ac:dyDescent="0.2">
      <c r="A150" s="83"/>
    </row>
    <row r="151" spans="1:1" x14ac:dyDescent="0.2">
      <c r="A151" s="83"/>
    </row>
    <row r="152" spans="1:1" x14ac:dyDescent="0.2">
      <c r="A152" s="83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A9AF-C789-446F-98FA-022B7F5458A2}">
  <sheetPr codeName="Sheet7">
    <tabColor theme="5" tint="-0.249977111117893"/>
  </sheetPr>
  <dimension ref="A1:J260"/>
  <sheetViews>
    <sheetView view="pageBreakPreview" zoomScaleNormal="120" zoomScaleSheetLayoutView="100" workbookViewId="0">
      <selection activeCell="A6" sqref="A6"/>
    </sheetView>
  </sheetViews>
  <sheetFormatPr defaultRowHeight="12.75" x14ac:dyDescent="0.2"/>
  <cols>
    <col min="1" max="1" width="27.7109375" bestFit="1" customWidth="1"/>
    <col min="2" max="2" width="19.42578125" style="1" bestFit="1" customWidth="1"/>
    <col min="3" max="3" width="14.140625" style="1" bestFit="1" customWidth="1"/>
    <col min="4" max="4" width="11.28515625" style="1" customWidth="1"/>
    <col min="5" max="5" width="20.140625" bestFit="1" customWidth="1"/>
    <col min="10" max="10" width="9.140625" style="114"/>
  </cols>
  <sheetData>
    <row r="1" spans="1:5" s="15" customFormat="1" x14ac:dyDescent="0.2">
      <c r="A1" s="112" t="s">
        <v>81</v>
      </c>
      <c r="B1" s="15" t="s">
        <v>104</v>
      </c>
      <c r="C1" s="15" t="s">
        <v>105</v>
      </c>
    </row>
    <row r="2" spans="1:5" x14ac:dyDescent="0.2">
      <c r="A2" s="104" t="s">
        <v>191</v>
      </c>
      <c r="B2" s="125" t="str">
        <f>"AR"&amp;A2</f>
        <v>AR05-1</v>
      </c>
      <c r="C2" s="126" t="str">
        <f>IF(A2&lt;&gt;"",B2," ")</f>
        <v>AR05-1</v>
      </c>
      <c r="D2"/>
      <c r="E2" s="124" t="s">
        <v>102</v>
      </c>
    </row>
    <row r="3" spans="1:5" x14ac:dyDescent="0.2">
      <c r="A3" s="104" t="s">
        <v>192</v>
      </c>
      <c r="B3" s="125" t="str">
        <f>"AR"&amp;A3</f>
        <v>AR06-1</v>
      </c>
      <c r="C3" s="126" t="str">
        <f t="shared" ref="C3:C16" si="0">IF(A3&lt;&gt;"",B3," ")</f>
        <v>AR06-1</v>
      </c>
      <c r="D3"/>
      <c r="E3" s="124" t="s">
        <v>103</v>
      </c>
    </row>
    <row r="4" spans="1:5" x14ac:dyDescent="0.2">
      <c r="A4" s="104" t="s">
        <v>193</v>
      </c>
      <c r="B4" s="125" t="str">
        <f t="shared" ref="B4:B16" si="1">"AF"&amp;A4</f>
        <v>AFSR05-1</v>
      </c>
      <c r="C4" s="126" t="str">
        <f t="shared" si="0"/>
        <v>AFSR05-1</v>
      </c>
      <c r="D4" s="83"/>
      <c r="E4" s="124" t="s">
        <v>124</v>
      </c>
    </row>
    <row r="5" spans="1:5" x14ac:dyDescent="0.2">
      <c r="A5" s="104" t="s">
        <v>194</v>
      </c>
      <c r="B5" s="125" t="str">
        <f t="shared" si="1"/>
        <v>AFSR06-1</v>
      </c>
      <c r="C5" s="126" t="str">
        <f t="shared" si="0"/>
        <v>AFSR06-1</v>
      </c>
      <c r="D5"/>
    </row>
    <row r="6" spans="1:5" x14ac:dyDescent="0.2">
      <c r="A6" s="104" t="s">
        <v>96</v>
      </c>
      <c r="B6" s="125" t="str">
        <f t="shared" si="1"/>
        <v>AF</v>
      </c>
      <c r="C6" s="126" t="str">
        <f t="shared" si="0"/>
        <v xml:space="preserve"> </v>
      </c>
      <c r="D6"/>
    </row>
    <row r="7" spans="1:5" x14ac:dyDescent="0.2">
      <c r="A7" s="104" t="s">
        <v>96</v>
      </c>
      <c r="B7" s="125" t="str">
        <f t="shared" si="1"/>
        <v>AF</v>
      </c>
      <c r="C7" s="126" t="str">
        <f t="shared" si="0"/>
        <v xml:space="preserve"> </v>
      </c>
      <c r="D7"/>
    </row>
    <row r="8" spans="1:5" x14ac:dyDescent="0.2">
      <c r="A8" s="104" t="s">
        <v>96</v>
      </c>
      <c r="B8" s="125" t="str">
        <f t="shared" si="1"/>
        <v>AF</v>
      </c>
      <c r="C8" s="126" t="str">
        <f t="shared" si="0"/>
        <v xml:space="preserve"> </v>
      </c>
      <c r="D8"/>
    </row>
    <row r="9" spans="1:5" x14ac:dyDescent="0.2">
      <c r="A9" s="104" t="s">
        <v>96</v>
      </c>
      <c r="B9" s="125" t="str">
        <f t="shared" si="1"/>
        <v>AF</v>
      </c>
      <c r="C9" s="126" t="str">
        <f t="shared" si="0"/>
        <v xml:space="preserve"> </v>
      </c>
    </row>
    <row r="10" spans="1:5" x14ac:dyDescent="0.2">
      <c r="A10" s="104" t="s">
        <v>96</v>
      </c>
      <c r="B10" s="125" t="str">
        <f t="shared" si="1"/>
        <v>AF</v>
      </c>
      <c r="C10" s="126" t="str">
        <f t="shared" si="0"/>
        <v xml:space="preserve"> </v>
      </c>
    </row>
    <row r="11" spans="1:5" x14ac:dyDescent="0.2">
      <c r="A11" s="104" t="s">
        <v>96</v>
      </c>
      <c r="B11" s="125" t="str">
        <f t="shared" si="1"/>
        <v>AF</v>
      </c>
      <c r="C11" s="126" t="str">
        <f t="shared" si="0"/>
        <v xml:space="preserve"> </v>
      </c>
    </row>
    <row r="12" spans="1:5" x14ac:dyDescent="0.2">
      <c r="A12" s="104" t="s">
        <v>96</v>
      </c>
      <c r="B12" s="125" t="str">
        <f t="shared" si="1"/>
        <v>AF</v>
      </c>
      <c r="C12" s="126" t="str">
        <f t="shared" si="0"/>
        <v xml:space="preserve"> </v>
      </c>
    </row>
    <row r="13" spans="1:5" x14ac:dyDescent="0.2">
      <c r="A13" s="104" t="s">
        <v>96</v>
      </c>
      <c r="B13" s="125" t="str">
        <f t="shared" si="1"/>
        <v>AF</v>
      </c>
      <c r="C13" s="126" t="str">
        <f t="shared" si="0"/>
        <v xml:space="preserve"> </v>
      </c>
    </row>
    <row r="14" spans="1:5" x14ac:dyDescent="0.2">
      <c r="A14" s="104" t="s">
        <v>96</v>
      </c>
      <c r="B14" s="125" t="str">
        <f t="shared" si="1"/>
        <v>AF</v>
      </c>
      <c r="C14" s="126" t="str">
        <f t="shared" si="0"/>
        <v xml:space="preserve"> </v>
      </c>
    </row>
    <row r="15" spans="1:5" x14ac:dyDescent="0.2">
      <c r="A15" s="104" t="s">
        <v>96</v>
      </c>
      <c r="B15" s="125" t="str">
        <f t="shared" si="1"/>
        <v>AF</v>
      </c>
      <c r="C15" s="126" t="str">
        <f t="shared" si="0"/>
        <v xml:space="preserve"> </v>
      </c>
    </row>
    <row r="16" spans="1:5" x14ac:dyDescent="0.2">
      <c r="A16" s="104" t="s">
        <v>96</v>
      </c>
      <c r="B16" s="125" t="str">
        <f t="shared" si="1"/>
        <v>AF</v>
      </c>
      <c r="C16" s="126" t="str">
        <f t="shared" si="0"/>
        <v xml:space="preserve"> </v>
      </c>
    </row>
    <row r="17" spans="1:10" x14ac:dyDescent="0.2">
      <c r="A17" s="15"/>
      <c r="B17" s="15"/>
      <c r="J17" s="113"/>
    </row>
    <row r="18" spans="1:10" x14ac:dyDescent="0.2">
      <c r="A18" s="15"/>
      <c r="B18" s="15"/>
      <c r="J18" s="113"/>
    </row>
    <row r="19" spans="1:10" x14ac:dyDescent="0.2">
      <c r="A19" s="15"/>
      <c r="B19" s="15"/>
      <c r="J19" s="113"/>
    </row>
    <row r="20" spans="1:10" x14ac:dyDescent="0.2">
      <c r="A20" s="15"/>
      <c r="B20" s="15"/>
      <c r="J20" s="113"/>
    </row>
    <row r="21" spans="1:10" x14ac:dyDescent="0.2">
      <c r="A21" s="15"/>
      <c r="B21" s="15"/>
      <c r="J21" s="113"/>
    </row>
    <row r="22" spans="1:10" x14ac:dyDescent="0.2">
      <c r="A22" s="15"/>
      <c r="B22" s="15"/>
      <c r="J22" s="113"/>
    </row>
    <row r="23" spans="1:10" x14ac:dyDescent="0.2">
      <c r="A23" s="15"/>
      <c r="B23" s="15"/>
      <c r="J23" s="113"/>
    </row>
    <row r="24" spans="1:10" x14ac:dyDescent="0.2">
      <c r="A24" s="15"/>
      <c r="B24" s="15"/>
      <c r="J24" s="113"/>
    </row>
    <row r="25" spans="1:10" x14ac:dyDescent="0.2">
      <c r="A25" s="15"/>
      <c r="B25" s="15"/>
      <c r="J25" s="113"/>
    </row>
    <row r="26" spans="1:10" x14ac:dyDescent="0.2">
      <c r="A26" s="15"/>
      <c r="B26" s="15"/>
      <c r="J26" s="113"/>
    </row>
    <row r="27" spans="1:10" x14ac:dyDescent="0.2">
      <c r="A27" s="15"/>
      <c r="B27" s="15"/>
      <c r="J27" s="113"/>
    </row>
    <row r="28" spans="1:10" x14ac:dyDescent="0.2">
      <c r="A28" s="15"/>
      <c r="B28" s="15"/>
      <c r="J28" s="113"/>
    </row>
    <row r="29" spans="1:10" x14ac:dyDescent="0.2">
      <c r="A29" s="15"/>
      <c r="B29" s="15"/>
      <c r="J29" s="113"/>
    </row>
    <row r="30" spans="1:10" x14ac:dyDescent="0.2">
      <c r="A30" s="15"/>
      <c r="B30" s="15"/>
      <c r="J30" s="113"/>
    </row>
    <row r="31" spans="1:10" x14ac:dyDescent="0.2">
      <c r="A31" s="15"/>
      <c r="B31" s="15"/>
      <c r="J31" s="113"/>
    </row>
    <row r="32" spans="1:10" x14ac:dyDescent="0.2">
      <c r="A32" s="15"/>
      <c r="B32" s="15"/>
      <c r="J32" s="113"/>
    </row>
    <row r="33" spans="1:10" x14ac:dyDescent="0.2">
      <c r="A33" s="15"/>
      <c r="B33" s="15"/>
      <c r="J33" s="113"/>
    </row>
    <row r="34" spans="1:10" x14ac:dyDescent="0.2">
      <c r="A34" s="15"/>
      <c r="J34" s="113"/>
    </row>
    <row r="35" spans="1:10" x14ac:dyDescent="0.2">
      <c r="A35" s="15"/>
      <c r="J35" s="113"/>
    </row>
    <row r="36" spans="1:10" x14ac:dyDescent="0.2">
      <c r="A36" s="15"/>
      <c r="J36" s="113"/>
    </row>
    <row r="37" spans="1:10" x14ac:dyDescent="0.2">
      <c r="A37" s="15"/>
      <c r="J37" s="113"/>
    </row>
    <row r="38" spans="1:10" x14ac:dyDescent="0.2">
      <c r="A38" s="15"/>
      <c r="J38" s="113"/>
    </row>
    <row r="39" spans="1:10" x14ac:dyDescent="0.2">
      <c r="A39" s="15"/>
      <c r="J39" s="113"/>
    </row>
    <row r="40" spans="1:10" x14ac:dyDescent="0.2">
      <c r="A40" s="15"/>
      <c r="J40" s="113"/>
    </row>
    <row r="41" spans="1:10" x14ac:dyDescent="0.2">
      <c r="A41" s="15"/>
      <c r="J41" s="113"/>
    </row>
    <row r="42" spans="1:10" x14ac:dyDescent="0.2">
      <c r="A42" s="15"/>
      <c r="J42" s="113"/>
    </row>
    <row r="43" spans="1:10" x14ac:dyDescent="0.2">
      <c r="A43" s="15"/>
      <c r="J43" s="113"/>
    </row>
    <row r="44" spans="1:10" x14ac:dyDescent="0.2">
      <c r="A44" s="15"/>
      <c r="J44" s="113"/>
    </row>
    <row r="45" spans="1:10" x14ac:dyDescent="0.2">
      <c r="A45" s="15"/>
      <c r="J45" s="113"/>
    </row>
    <row r="46" spans="1:10" x14ac:dyDescent="0.2">
      <c r="A46" s="15"/>
      <c r="J46" s="113"/>
    </row>
    <row r="47" spans="1:10" x14ac:dyDescent="0.2">
      <c r="A47" s="15"/>
      <c r="J47" s="113"/>
    </row>
    <row r="48" spans="1:10" x14ac:dyDescent="0.2">
      <c r="A48" s="15"/>
      <c r="J48" s="113"/>
    </row>
    <row r="49" spans="1:10" x14ac:dyDescent="0.2">
      <c r="A49" s="15"/>
      <c r="J49" s="113"/>
    </row>
    <row r="50" spans="1:10" x14ac:dyDescent="0.2">
      <c r="A50" s="15"/>
      <c r="J50" s="113"/>
    </row>
    <row r="51" spans="1:10" x14ac:dyDescent="0.2">
      <c r="A51" s="15"/>
      <c r="J51" s="113"/>
    </row>
    <row r="52" spans="1:10" x14ac:dyDescent="0.2">
      <c r="A52" s="15"/>
      <c r="J52" s="113"/>
    </row>
    <row r="53" spans="1:10" x14ac:dyDescent="0.2">
      <c r="A53" s="15"/>
      <c r="J53" s="113"/>
    </row>
    <row r="54" spans="1:10" x14ac:dyDescent="0.2">
      <c r="A54" s="15"/>
      <c r="J54" s="113"/>
    </row>
    <row r="55" spans="1:10" x14ac:dyDescent="0.2">
      <c r="A55" s="15"/>
      <c r="J55" s="113"/>
    </row>
    <row r="56" spans="1:10" x14ac:dyDescent="0.2">
      <c r="A56" s="15"/>
      <c r="J56" s="113"/>
    </row>
    <row r="57" spans="1:10" x14ac:dyDescent="0.2">
      <c r="A57" s="15"/>
      <c r="J57" s="113"/>
    </row>
    <row r="58" spans="1:10" x14ac:dyDescent="0.2">
      <c r="A58" s="15"/>
      <c r="J58" s="113"/>
    </row>
    <row r="59" spans="1:10" x14ac:dyDescent="0.2">
      <c r="A59" s="15"/>
      <c r="J59" s="113"/>
    </row>
    <row r="60" spans="1:10" x14ac:dyDescent="0.2">
      <c r="A60" s="15"/>
      <c r="J60" s="113"/>
    </row>
    <row r="61" spans="1:10" x14ac:dyDescent="0.2">
      <c r="A61" s="15"/>
      <c r="J61" s="113"/>
    </row>
    <row r="62" spans="1:10" x14ac:dyDescent="0.2">
      <c r="A62" s="15"/>
      <c r="J62" s="113"/>
    </row>
    <row r="63" spans="1:10" x14ac:dyDescent="0.2">
      <c r="A63" s="15"/>
      <c r="J63" s="113"/>
    </row>
    <row r="64" spans="1:10" x14ac:dyDescent="0.2">
      <c r="A64" s="15"/>
      <c r="J64" s="113"/>
    </row>
    <row r="65" spans="1:10" x14ac:dyDescent="0.2">
      <c r="A65" s="15"/>
      <c r="J65" s="113"/>
    </row>
    <row r="66" spans="1:10" x14ac:dyDescent="0.2">
      <c r="A66" s="15"/>
      <c r="J66" s="113"/>
    </row>
    <row r="67" spans="1:10" x14ac:dyDescent="0.2">
      <c r="A67" s="15"/>
      <c r="J67" s="113"/>
    </row>
    <row r="68" spans="1:10" x14ac:dyDescent="0.2">
      <c r="A68" s="15"/>
      <c r="J68" s="113"/>
    </row>
    <row r="69" spans="1:10" x14ac:dyDescent="0.2">
      <c r="A69" s="15"/>
      <c r="J69" s="113"/>
    </row>
    <row r="70" spans="1:10" x14ac:dyDescent="0.2">
      <c r="A70" s="15"/>
      <c r="J70" s="113"/>
    </row>
    <row r="71" spans="1:10" x14ac:dyDescent="0.2">
      <c r="A71" s="15"/>
      <c r="J71" s="113"/>
    </row>
    <row r="72" spans="1:10" x14ac:dyDescent="0.2">
      <c r="A72" s="15"/>
      <c r="J72" s="113"/>
    </row>
    <row r="73" spans="1:10" x14ac:dyDescent="0.2">
      <c r="A73" s="15"/>
      <c r="J73" s="113"/>
    </row>
    <row r="74" spans="1:10" x14ac:dyDescent="0.2">
      <c r="A74" s="15"/>
      <c r="J74" s="113"/>
    </row>
    <row r="75" spans="1:10" x14ac:dyDescent="0.2">
      <c r="A75" s="15"/>
      <c r="J75" s="113"/>
    </row>
    <row r="76" spans="1:10" x14ac:dyDescent="0.2">
      <c r="A76" s="15"/>
      <c r="J76" s="113"/>
    </row>
    <row r="77" spans="1:10" x14ac:dyDescent="0.2">
      <c r="A77" s="15"/>
      <c r="J77" s="113"/>
    </row>
    <row r="78" spans="1:10" x14ac:dyDescent="0.2">
      <c r="A78" s="15"/>
      <c r="J78" s="113"/>
    </row>
    <row r="79" spans="1:10" x14ac:dyDescent="0.2">
      <c r="A79" s="15"/>
      <c r="J79" s="113"/>
    </row>
    <row r="80" spans="1:10" x14ac:dyDescent="0.2">
      <c r="A80" s="15"/>
      <c r="J80" s="113"/>
    </row>
    <row r="81" spans="1:10" x14ac:dyDescent="0.2">
      <c r="A81" s="15"/>
      <c r="J81" s="113"/>
    </row>
    <row r="82" spans="1:10" x14ac:dyDescent="0.2">
      <c r="A82" s="15"/>
      <c r="J82" s="113"/>
    </row>
    <row r="83" spans="1:10" x14ac:dyDescent="0.2">
      <c r="A83" s="15"/>
      <c r="J83" s="113"/>
    </row>
    <row r="84" spans="1:10" x14ac:dyDescent="0.2">
      <c r="A84" s="15"/>
      <c r="J84" s="113"/>
    </row>
    <row r="85" spans="1:10" x14ac:dyDescent="0.2">
      <c r="A85" s="15"/>
      <c r="J85" s="113"/>
    </row>
    <row r="86" spans="1:10" x14ac:dyDescent="0.2">
      <c r="A86" s="15"/>
      <c r="J86" s="113"/>
    </row>
    <row r="87" spans="1:10" x14ac:dyDescent="0.2">
      <c r="A87" s="15"/>
      <c r="J87" s="113"/>
    </row>
    <row r="88" spans="1:10" x14ac:dyDescent="0.2">
      <c r="A88" s="15"/>
      <c r="J88" s="113"/>
    </row>
    <row r="89" spans="1:10" x14ac:dyDescent="0.2">
      <c r="A89" s="15"/>
      <c r="J89" s="113"/>
    </row>
    <row r="90" spans="1:10" x14ac:dyDescent="0.2">
      <c r="A90" s="15"/>
      <c r="J90" s="113"/>
    </row>
    <row r="91" spans="1:10" x14ac:dyDescent="0.2">
      <c r="A91" s="15"/>
      <c r="J91" s="113"/>
    </row>
    <row r="92" spans="1:10" x14ac:dyDescent="0.2">
      <c r="A92" s="15"/>
      <c r="J92" s="113"/>
    </row>
    <row r="93" spans="1:10" x14ac:dyDescent="0.2">
      <c r="A93" s="15"/>
      <c r="J93" s="113"/>
    </row>
    <row r="94" spans="1:10" x14ac:dyDescent="0.2">
      <c r="A94" s="15"/>
      <c r="J94" s="113"/>
    </row>
    <row r="95" spans="1:10" x14ac:dyDescent="0.2">
      <c r="A95" s="15"/>
      <c r="J95" s="113"/>
    </row>
    <row r="96" spans="1:10" x14ac:dyDescent="0.2">
      <c r="A96" s="15"/>
      <c r="J96" s="113"/>
    </row>
    <row r="97" spans="1:10" x14ac:dyDescent="0.2">
      <c r="A97" s="15"/>
      <c r="J97" s="113"/>
    </row>
    <row r="98" spans="1:10" x14ac:dyDescent="0.2">
      <c r="A98" s="15"/>
      <c r="J98" s="113"/>
    </row>
    <row r="99" spans="1:10" x14ac:dyDescent="0.2">
      <c r="A99" s="15"/>
      <c r="J99" s="113"/>
    </row>
    <row r="100" spans="1:10" x14ac:dyDescent="0.2">
      <c r="A100" s="15"/>
      <c r="J100" s="113"/>
    </row>
    <row r="101" spans="1:10" x14ac:dyDescent="0.2">
      <c r="A101" s="15"/>
      <c r="J101" s="113"/>
    </row>
    <row r="102" spans="1:10" x14ac:dyDescent="0.2">
      <c r="A102" s="15"/>
      <c r="J102" s="113"/>
    </row>
    <row r="103" spans="1:10" x14ac:dyDescent="0.2">
      <c r="A103" s="15"/>
      <c r="J103" s="113"/>
    </row>
    <row r="104" spans="1:10" x14ac:dyDescent="0.2">
      <c r="A104" s="15"/>
      <c r="J104" s="113"/>
    </row>
    <row r="105" spans="1:10" x14ac:dyDescent="0.2">
      <c r="A105" s="15"/>
      <c r="J105" s="113"/>
    </row>
    <row r="106" spans="1:10" x14ac:dyDescent="0.2">
      <c r="A106" s="15"/>
      <c r="J106" s="113"/>
    </row>
    <row r="107" spans="1:10" x14ac:dyDescent="0.2">
      <c r="A107" s="15"/>
      <c r="J107" s="113"/>
    </row>
    <row r="108" spans="1:10" x14ac:dyDescent="0.2">
      <c r="A108" s="15"/>
      <c r="J108" s="113"/>
    </row>
    <row r="109" spans="1:10" x14ac:dyDescent="0.2">
      <c r="A109" s="15"/>
      <c r="J109" s="113"/>
    </row>
    <row r="110" spans="1:10" x14ac:dyDescent="0.2">
      <c r="A110" s="15"/>
      <c r="J110" s="113"/>
    </row>
    <row r="111" spans="1:10" x14ac:dyDescent="0.2">
      <c r="A111" s="15"/>
      <c r="J111" s="113"/>
    </row>
    <row r="112" spans="1:10" x14ac:dyDescent="0.2">
      <c r="A112" s="15"/>
      <c r="J112" s="113"/>
    </row>
    <row r="113" spans="1:10" x14ac:dyDescent="0.2">
      <c r="A113" s="15"/>
      <c r="J113" s="113"/>
    </row>
    <row r="114" spans="1:10" x14ac:dyDescent="0.2">
      <c r="A114" s="15"/>
      <c r="J114" s="113"/>
    </row>
    <row r="115" spans="1:10" x14ac:dyDescent="0.2">
      <c r="A115" s="15"/>
      <c r="J115" s="113"/>
    </row>
    <row r="116" spans="1:10" x14ac:dyDescent="0.2">
      <c r="A116" s="15"/>
      <c r="J116" s="113"/>
    </row>
    <row r="117" spans="1:10" x14ac:dyDescent="0.2">
      <c r="A117" s="15"/>
      <c r="J117" s="113"/>
    </row>
    <row r="118" spans="1:10" x14ac:dyDescent="0.2">
      <c r="A118" s="15"/>
      <c r="J118" s="113"/>
    </row>
    <row r="119" spans="1:10" x14ac:dyDescent="0.2">
      <c r="A119" s="15"/>
      <c r="J119" s="113"/>
    </row>
    <row r="120" spans="1:10" x14ac:dyDescent="0.2">
      <c r="A120" s="15"/>
      <c r="J120" s="113"/>
    </row>
    <row r="121" spans="1:10" x14ac:dyDescent="0.2">
      <c r="A121" s="15"/>
      <c r="J121" s="113"/>
    </row>
    <row r="122" spans="1:10" x14ac:dyDescent="0.2">
      <c r="A122" s="15"/>
      <c r="J122" s="113"/>
    </row>
    <row r="123" spans="1:10" x14ac:dyDescent="0.2">
      <c r="A123" s="15"/>
      <c r="J123" s="113"/>
    </row>
    <row r="124" spans="1:10" x14ac:dyDescent="0.2">
      <c r="A124" s="15"/>
      <c r="J124" s="113"/>
    </row>
    <row r="125" spans="1:10" x14ac:dyDescent="0.2">
      <c r="A125" s="15"/>
      <c r="J125" s="113"/>
    </row>
    <row r="126" spans="1:10" x14ac:dyDescent="0.2">
      <c r="A126" s="15"/>
      <c r="J126" s="113"/>
    </row>
    <row r="127" spans="1:10" x14ac:dyDescent="0.2">
      <c r="A127" s="15"/>
      <c r="J127" s="113"/>
    </row>
    <row r="128" spans="1:10" x14ac:dyDescent="0.2">
      <c r="A128" s="15"/>
      <c r="J128" s="113"/>
    </row>
    <row r="129" spans="1:10" x14ac:dyDescent="0.2">
      <c r="A129" s="15"/>
      <c r="J129" s="113"/>
    </row>
    <row r="130" spans="1:10" x14ac:dyDescent="0.2">
      <c r="A130" s="15"/>
      <c r="J130" s="113"/>
    </row>
    <row r="131" spans="1:10" x14ac:dyDescent="0.2">
      <c r="A131" s="15"/>
      <c r="J131" s="113"/>
    </row>
    <row r="132" spans="1:10" x14ac:dyDescent="0.2">
      <c r="A132" s="15"/>
      <c r="J132" s="113"/>
    </row>
    <row r="133" spans="1:10" x14ac:dyDescent="0.2">
      <c r="A133" s="15"/>
      <c r="J133" s="113"/>
    </row>
    <row r="134" spans="1:10" x14ac:dyDescent="0.2">
      <c r="A134" s="15"/>
      <c r="J134" s="113"/>
    </row>
    <row r="135" spans="1:10" x14ac:dyDescent="0.2">
      <c r="A135" s="15"/>
      <c r="J135" s="113"/>
    </row>
    <row r="136" spans="1:10" x14ac:dyDescent="0.2">
      <c r="A136" s="15"/>
      <c r="J136" s="113"/>
    </row>
    <row r="137" spans="1:10" x14ac:dyDescent="0.2">
      <c r="A137" s="15"/>
      <c r="J137" s="113"/>
    </row>
    <row r="138" spans="1:10" x14ac:dyDescent="0.2">
      <c r="A138" s="15"/>
      <c r="J138" s="113"/>
    </row>
    <row r="139" spans="1:10" x14ac:dyDescent="0.2">
      <c r="A139" s="15"/>
      <c r="J139" s="113"/>
    </row>
    <row r="140" spans="1:10" x14ac:dyDescent="0.2">
      <c r="A140" s="15"/>
      <c r="J140" s="113"/>
    </row>
    <row r="141" spans="1:10" x14ac:dyDescent="0.2">
      <c r="A141" s="15"/>
      <c r="J141" s="113"/>
    </row>
    <row r="142" spans="1:10" x14ac:dyDescent="0.2">
      <c r="A142" s="15"/>
      <c r="J142" s="113"/>
    </row>
    <row r="143" spans="1:10" x14ac:dyDescent="0.2">
      <c r="A143" s="15"/>
      <c r="J143" s="113"/>
    </row>
    <row r="144" spans="1:10" x14ac:dyDescent="0.2">
      <c r="A144" s="15"/>
      <c r="J144" s="113"/>
    </row>
    <row r="145" spans="1:10" x14ac:dyDescent="0.2">
      <c r="A145" s="15"/>
      <c r="J145" s="113"/>
    </row>
    <row r="146" spans="1:10" x14ac:dyDescent="0.2">
      <c r="A146" s="15"/>
      <c r="J146" s="113"/>
    </row>
    <row r="147" spans="1:10" x14ac:dyDescent="0.2">
      <c r="A147" s="15"/>
      <c r="J147" s="113"/>
    </row>
    <row r="148" spans="1:10" x14ac:dyDescent="0.2">
      <c r="A148" s="15"/>
      <c r="J148" s="113"/>
    </row>
    <row r="149" spans="1:10" x14ac:dyDescent="0.2">
      <c r="A149" s="15"/>
      <c r="J149" s="113"/>
    </row>
    <row r="150" spans="1:10" x14ac:dyDescent="0.2">
      <c r="A150" s="15"/>
      <c r="J150" s="113"/>
    </row>
    <row r="151" spans="1:10" x14ac:dyDescent="0.2">
      <c r="A151" s="15"/>
      <c r="J151" s="113"/>
    </row>
    <row r="152" spans="1:10" x14ac:dyDescent="0.2">
      <c r="A152" s="15"/>
      <c r="J152" s="113"/>
    </row>
    <row r="153" spans="1:10" x14ac:dyDescent="0.2">
      <c r="A153" s="15"/>
      <c r="J153" s="113"/>
    </row>
    <row r="154" spans="1:10" x14ac:dyDescent="0.2">
      <c r="A154" s="15"/>
      <c r="J154" s="113"/>
    </row>
    <row r="155" spans="1:10" x14ac:dyDescent="0.2">
      <c r="A155" s="15"/>
      <c r="J155" s="113"/>
    </row>
    <row r="156" spans="1:10" x14ac:dyDescent="0.2">
      <c r="A156" s="15"/>
      <c r="J156" s="113"/>
    </row>
    <row r="157" spans="1:10" x14ac:dyDescent="0.2">
      <c r="A157" s="15"/>
      <c r="J157" s="113"/>
    </row>
    <row r="158" spans="1:10" x14ac:dyDescent="0.2">
      <c r="A158" s="15"/>
      <c r="J158" s="113"/>
    </row>
    <row r="159" spans="1:10" x14ac:dyDescent="0.2">
      <c r="A159" s="15"/>
      <c r="J159" s="113"/>
    </row>
    <row r="160" spans="1:10" x14ac:dyDescent="0.2">
      <c r="A160" s="15"/>
      <c r="J160" s="113"/>
    </row>
    <row r="161" spans="1:10" x14ac:dyDescent="0.2">
      <c r="A161" s="15"/>
      <c r="J161" s="113"/>
    </row>
    <row r="162" spans="1:10" x14ac:dyDescent="0.2">
      <c r="A162" s="15"/>
      <c r="J162" s="113"/>
    </row>
    <row r="163" spans="1:10" x14ac:dyDescent="0.2">
      <c r="A163" s="15"/>
      <c r="J163" s="113"/>
    </row>
    <row r="164" spans="1:10" x14ac:dyDescent="0.2">
      <c r="A164" s="15"/>
      <c r="J164" s="113"/>
    </row>
    <row r="165" spans="1:10" x14ac:dyDescent="0.2">
      <c r="A165" s="15"/>
      <c r="J165" s="113"/>
    </row>
    <row r="166" spans="1:10" x14ac:dyDescent="0.2">
      <c r="A166" s="15"/>
      <c r="J166" s="113"/>
    </row>
    <row r="167" spans="1:10" x14ac:dyDescent="0.2">
      <c r="J167" s="113"/>
    </row>
    <row r="168" spans="1:10" x14ac:dyDescent="0.2">
      <c r="J168" s="113"/>
    </row>
    <row r="169" spans="1:10" x14ac:dyDescent="0.2">
      <c r="J169" s="113"/>
    </row>
    <row r="170" spans="1:10" x14ac:dyDescent="0.2">
      <c r="J170" s="113"/>
    </row>
    <row r="171" spans="1:10" x14ac:dyDescent="0.2">
      <c r="J171" s="113"/>
    </row>
    <row r="172" spans="1:10" x14ac:dyDescent="0.2">
      <c r="J172" s="113"/>
    </row>
    <row r="173" spans="1:10" x14ac:dyDescent="0.2">
      <c r="J173" s="113"/>
    </row>
    <row r="174" spans="1:10" x14ac:dyDescent="0.2">
      <c r="J174" s="113"/>
    </row>
    <row r="175" spans="1:10" x14ac:dyDescent="0.2">
      <c r="J175" s="113"/>
    </row>
    <row r="176" spans="1:10" x14ac:dyDescent="0.2">
      <c r="J176" s="113"/>
    </row>
    <row r="177" spans="10:10" x14ac:dyDescent="0.2">
      <c r="J177" s="113"/>
    </row>
    <row r="178" spans="10:10" x14ac:dyDescent="0.2">
      <c r="J178" s="113"/>
    </row>
    <row r="179" spans="10:10" x14ac:dyDescent="0.2">
      <c r="J179" s="113"/>
    </row>
    <row r="180" spans="10:10" x14ac:dyDescent="0.2">
      <c r="J180" s="113"/>
    </row>
    <row r="181" spans="10:10" x14ac:dyDescent="0.2">
      <c r="J181" s="113"/>
    </row>
    <row r="182" spans="10:10" x14ac:dyDescent="0.2">
      <c r="J182" s="113"/>
    </row>
    <row r="183" spans="10:10" x14ac:dyDescent="0.2">
      <c r="J183" s="113"/>
    </row>
    <row r="184" spans="10:10" x14ac:dyDescent="0.2">
      <c r="J184" s="113"/>
    </row>
    <row r="185" spans="10:10" x14ac:dyDescent="0.2">
      <c r="J185" s="113"/>
    </row>
    <row r="186" spans="10:10" x14ac:dyDescent="0.2">
      <c r="J186" s="113"/>
    </row>
    <row r="187" spans="10:10" x14ac:dyDescent="0.2">
      <c r="J187" s="113"/>
    </row>
    <row r="188" spans="10:10" x14ac:dyDescent="0.2">
      <c r="J188" s="113"/>
    </row>
    <row r="189" spans="10:10" x14ac:dyDescent="0.2">
      <c r="J189" s="113"/>
    </row>
    <row r="190" spans="10:10" x14ac:dyDescent="0.2">
      <c r="J190" s="113"/>
    </row>
    <row r="191" spans="10:10" x14ac:dyDescent="0.2">
      <c r="J191" s="113"/>
    </row>
    <row r="192" spans="10:10" x14ac:dyDescent="0.2">
      <c r="J192" s="113"/>
    </row>
    <row r="193" spans="10:10" x14ac:dyDescent="0.2">
      <c r="J193" s="113"/>
    </row>
    <row r="194" spans="10:10" x14ac:dyDescent="0.2">
      <c r="J194" s="113"/>
    </row>
    <row r="195" spans="10:10" x14ac:dyDescent="0.2">
      <c r="J195" s="113"/>
    </row>
    <row r="196" spans="10:10" x14ac:dyDescent="0.2">
      <c r="J196" s="113"/>
    </row>
    <row r="197" spans="10:10" x14ac:dyDescent="0.2">
      <c r="J197" s="113"/>
    </row>
    <row r="198" spans="10:10" x14ac:dyDescent="0.2">
      <c r="J198" s="113"/>
    </row>
    <row r="199" spans="10:10" x14ac:dyDescent="0.2">
      <c r="J199" s="113"/>
    </row>
    <row r="200" spans="10:10" x14ac:dyDescent="0.2">
      <c r="J200" s="113"/>
    </row>
    <row r="201" spans="10:10" x14ac:dyDescent="0.2">
      <c r="J201" s="113"/>
    </row>
    <row r="202" spans="10:10" x14ac:dyDescent="0.2">
      <c r="J202" s="113"/>
    </row>
    <row r="203" spans="10:10" x14ac:dyDescent="0.2">
      <c r="J203" s="113"/>
    </row>
    <row r="204" spans="10:10" x14ac:dyDescent="0.2">
      <c r="J204" s="113"/>
    </row>
    <row r="205" spans="10:10" x14ac:dyDescent="0.2">
      <c r="J205" s="113"/>
    </row>
    <row r="206" spans="10:10" x14ac:dyDescent="0.2">
      <c r="J206" s="113"/>
    </row>
    <row r="207" spans="10:10" x14ac:dyDescent="0.2">
      <c r="J207" s="113"/>
    </row>
    <row r="208" spans="10:10" x14ac:dyDescent="0.2">
      <c r="J208" s="113"/>
    </row>
    <row r="209" spans="10:10" x14ac:dyDescent="0.2">
      <c r="J209" s="113"/>
    </row>
    <row r="210" spans="10:10" x14ac:dyDescent="0.2">
      <c r="J210" s="113"/>
    </row>
    <row r="211" spans="10:10" x14ac:dyDescent="0.2">
      <c r="J211" s="113"/>
    </row>
    <row r="212" spans="10:10" x14ac:dyDescent="0.2">
      <c r="J212" s="113"/>
    </row>
    <row r="213" spans="10:10" x14ac:dyDescent="0.2">
      <c r="J213" s="113"/>
    </row>
    <row r="214" spans="10:10" x14ac:dyDescent="0.2">
      <c r="J214" s="113"/>
    </row>
    <row r="215" spans="10:10" x14ac:dyDescent="0.2">
      <c r="J215" s="113"/>
    </row>
    <row r="216" spans="10:10" x14ac:dyDescent="0.2">
      <c r="J216" s="113"/>
    </row>
    <row r="217" spans="10:10" x14ac:dyDescent="0.2">
      <c r="J217" s="113"/>
    </row>
    <row r="218" spans="10:10" x14ac:dyDescent="0.2">
      <c r="J218" s="113"/>
    </row>
    <row r="219" spans="10:10" x14ac:dyDescent="0.2">
      <c r="J219" s="113"/>
    </row>
    <row r="220" spans="10:10" x14ac:dyDescent="0.2">
      <c r="J220" s="113"/>
    </row>
    <row r="221" spans="10:10" x14ac:dyDescent="0.2">
      <c r="J221" s="113"/>
    </row>
    <row r="222" spans="10:10" x14ac:dyDescent="0.2">
      <c r="J222" s="113"/>
    </row>
    <row r="223" spans="10:10" x14ac:dyDescent="0.2">
      <c r="J223" s="113"/>
    </row>
    <row r="224" spans="10:10" x14ac:dyDescent="0.2">
      <c r="J224" s="113"/>
    </row>
    <row r="225" spans="10:10" x14ac:dyDescent="0.2">
      <c r="J225" s="113"/>
    </row>
    <row r="226" spans="10:10" x14ac:dyDescent="0.2">
      <c r="J226" s="113"/>
    </row>
    <row r="227" spans="10:10" x14ac:dyDescent="0.2">
      <c r="J227" s="113"/>
    </row>
    <row r="228" spans="10:10" x14ac:dyDescent="0.2">
      <c r="J228" s="113"/>
    </row>
    <row r="229" spans="10:10" x14ac:dyDescent="0.2">
      <c r="J229" s="113"/>
    </row>
    <row r="230" spans="10:10" x14ac:dyDescent="0.2">
      <c r="J230" s="113"/>
    </row>
    <row r="231" spans="10:10" x14ac:dyDescent="0.2">
      <c r="J231" s="113"/>
    </row>
    <row r="232" spans="10:10" x14ac:dyDescent="0.2">
      <c r="J232" s="113"/>
    </row>
    <row r="233" spans="10:10" x14ac:dyDescent="0.2">
      <c r="J233" s="113"/>
    </row>
    <row r="234" spans="10:10" x14ac:dyDescent="0.2">
      <c r="J234" s="113"/>
    </row>
    <row r="235" spans="10:10" x14ac:dyDescent="0.2">
      <c r="J235" s="113"/>
    </row>
    <row r="236" spans="10:10" x14ac:dyDescent="0.2">
      <c r="J236" s="113"/>
    </row>
    <row r="237" spans="10:10" x14ac:dyDescent="0.2">
      <c r="J237" s="113"/>
    </row>
    <row r="238" spans="10:10" x14ac:dyDescent="0.2">
      <c r="J238" s="113"/>
    </row>
    <row r="239" spans="10:10" x14ac:dyDescent="0.2">
      <c r="J239" s="113"/>
    </row>
    <row r="240" spans="10:10" x14ac:dyDescent="0.2">
      <c r="J240" s="113"/>
    </row>
    <row r="241" spans="10:10" x14ac:dyDescent="0.2">
      <c r="J241" s="113"/>
    </row>
    <row r="242" spans="10:10" x14ac:dyDescent="0.2">
      <c r="J242" s="113"/>
    </row>
    <row r="243" spans="10:10" x14ac:dyDescent="0.2">
      <c r="J243" s="113"/>
    </row>
    <row r="244" spans="10:10" x14ac:dyDescent="0.2">
      <c r="J244" s="113"/>
    </row>
    <row r="245" spans="10:10" x14ac:dyDescent="0.2">
      <c r="J245" s="113"/>
    </row>
    <row r="246" spans="10:10" x14ac:dyDescent="0.2">
      <c r="J246" s="113"/>
    </row>
    <row r="247" spans="10:10" x14ac:dyDescent="0.2">
      <c r="J247" s="113"/>
    </row>
    <row r="248" spans="10:10" x14ac:dyDescent="0.2">
      <c r="J248" s="113"/>
    </row>
    <row r="249" spans="10:10" x14ac:dyDescent="0.2">
      <c r="J249" s="113"/>
    </row>
    <row r="250" spans="10:10" x14ac:dyDescent="0.2">
      <c r="J250" s="113"/>
    </row>
    <row r="251" spans="10:10" x14ac:dyDescent="0.2">
      <c r="J251" s="113"/>
    </row>
    <row r="252" spans="10:10" x14ac:dyDescent="0.2">
      <c r="J252" s="113"/>
    </row>
    <row r="253" spans="10:10" x14ac:dyDescent="0.2">
      <c r="J253" s="113"/>
    </row>
    <row r="254" spans="10:10" x14ac:dyDescent="0.2">
      <c r="J254" s="113"/>
    </row>
    <row r="255" spans="10:10" x14ac:dyDescent="0.2">
      <c r="J255" s="113"/>
    </row>
    <row r="256" spans="10:10" x14ac:dyDescent="0.2">
      <c r="J256" s="113"/>
    </row>
    <row r="257" spans="10:10" x14ac:dyDescent="0.2">
      <c r="J257" s="113"/>
    </row>
    <row r="258" spans="10:10" x14ac:dyDescent="0.2">
      <c r="J258" s="113"/>
    </row>
    <row r="259" spans="10:10" x14ac:dyDescent="0.2">
      <c r="J259" s="113"/>
    </row>
    <row r="260" spans="10:10" x14ac:dyDescent="0.2">
      <c r="J260" s="113"/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74F5-32C2-4DD9-8FF8-39FBDEA949A9}">
  <sheetPr codeName="Sheet11">
    <tabColor theme="5" tint="-0.249977111117893"/>
  </sheetPr>
  <dimension ref="A1:J260"/>
  <sheetViews>
    <sheetView view="pageBreakPreview" zoomScaleNormal="120" zoomScaleSheetLayoutView="100" workbookViewId="0">
      <selection activeCell="E22" sqref="E22"/>
    </sheetView>
  </sheetViews>
  <sheetFormatPr defaultRowHeight="12.75" x14ac:dyDescent="0.2"/>
  <cols>
    <col min="1" max="1" width="14.5703125" style="138" bestFit="1" customWidth="1"/>
    <col min="2" max="2" width="11.28515625" style="138" customWidth="1"/>
    <col min="3" max="4" width="11.28515625" style="1" customWidth="1"/>
    <col min="5" max="5" width="20.140625" bestFit="1" customWidth="1"/>
    <col min="10" max="10" width="9.140625" style="114"/>
  </cols>
  <sheetData>
    <row r="1" spans="1:10" s="15" customFormat="1" x14ac:dyDescent="0.2">
      <c r="A1" s="136" t="s">
        <v>64</v>
      </c>
      <c r="B1" s="136" t="s">
        <v>16</v>
      </c>
      <c r="J1" s="112"/>
    </row>
    <row r="2" spans="1:10" x14ac:dyDescent="0.2">
      <c r="A2" s="137" t="str">
        <f>IF('Artifact Labels'!C2=0, " ",'Artifact Labels'!C2)</f>
        <v>AR05-1</v>
      </c>
      <c r="B2" s="136">
        <f>IF(A2&lt;&gt;" ",3," ")</f>
        <v>3</v>
      </c>
      <c r="C2"/>
      <c r="D2"/>
      <c r="J2" s="113"/>
    </row>
    <row r="3" spans="1:10" x14ac:dyDescent="0.2">
      <c r="A3" s="137" t="str">
        <f>IF('Artifact Labels'!C3=0, " ",'Artifact Labels'!C3)</f>
        <v>AR06-1</v>
      </c>
      <c r="B3" s="136">
        <f>IF(A3&lt;&gt;" ",3," ")</f>
        <v>3</v>
      </c>
      <c r="C3"/>
      <c r="D3"/>
      <c r="J3" s="113"/>
    </row>
    <row r="4" spans="1:10" x14ac:dyDescent="0.2">
      <c r="A4" s="137" t="str">
        <f>IF('Artifact Labels'!C4=0, " ",'Artifact Labels'!C4)</f>
        <v>AFSR05-1</v>
      </c>
      <c r="B4" s="136">
        <f t="shared" ref="B4:B15" si="0">IF(A4&lt;&gt;" ",3," ")</f>
        <v>3</v>
      </c>
      <c r="C4"/>
      <c r="D4" s="83"/>
      <c r="J4" s="113"/>
    </row>
    <row r="5" spans="1:10" x14ac:dyDescent="0.2">
      <c r="A5" s="137" t="str">
        <f>IF('Artifact Labels'!C5=0, " ",'Artifact Labels'!C5)</f>
        <v>AFSR06-1</v>
      </c>
      <c r="B5" s="136">
        <f t="shared" si="0"/>
        <v>3</v>
      </c>
      <c r="C5"/>
      <c r="D5"/>
      <c r="J5" s="113"/>
    </row>
    <row r="6" spans="1:10" x14ac:dyDescent="0.2">
      <c r="A6" s="137" t="str">
        <f>IF('Artifact Labels'!C6=0, " ",'Artifact Labels'!C6)</f>
        <v xml:space="preserve"> </v>
      </c>
      <c r="B6" s="136" t="str">
        <f t="shared" si="0"/>
        <v xml:space="preserve"> </v>
      </c>
      <c r="C6"/>
      <c r="D6"/>
      <c r="J6" s="113"/>
    </row>
    <row r="7" spans="1:10" x14ac:dyDescent="0.2">
      <c r="A7" s="137" t="str">
        <f>IF('Artifact Labels'!C7=0, " ",'Artifact Labels'!C7)</f>
        <v xml:space="preserve"> </v>
      </c>
      <c r="B7" s="136" t="str">
        <f t="shared" si="0"/>
        <v xml:space="preserve"> </v>
      </c>
      <c r="C7"/>
      <c r="D7"/>
      <c r="J7" s="113"/>
    </row>
    <row r="8" spans="1:10" x14ac:dyDescent="0.2">
      <c r="A8" s="137" t="str">
        <f>IF('Artifact Labels'!C8=0, " ",'Artifact Labels'!C8)</f>
        <v xml:space="preserve"> </v>
      </c>
      <c r="B8" s="136" t="str">
        <f t="shared" si="0"/>
        <v xml:space="preserve"> </v>
      </c>
      <c r="C8"/>
      <c r="D8"/>
      <c r="J8" s="113"/>
    </row>
    <row r="9" spans="1:10" x14ac:dyDescent="0.2">
      <c r="A9" s="137" t="str">
        <f>IF('Artifact Labels'!C9=0, " ",'Artifact Labels'!C9)</f>
        <v xml:space="preserve"> </v>
      </c>
      <c r="B9" s="136" t="str">
        <f t="shared" si="0"/>
        <v xml:space="preserve"> </v>
      </c>
      <c r="J9" s="113"/>
    </row>
    <row r="10" spans="1:10" x14ac:dyDescent="0.2">
      <c r="A10" s="137" t="str">
        <f>IF('Artifact Labels'!C10=0, " ",'Artifact Labels'!C10)</f>
        <v xml:space="preserve"> </v>
      </c>
      <c r="B10" s="136" t="str">
        <f t="shared" si="0"/>
        <v xml:space="preserve"> </v>
      </c>
      <c r="J10" s="113"/>
    </row>
    <row r="11" spans="1:10" x14ac:dyDescent="0.2">
      <c r="A11" s="137" t="str">
        <f>IF('Artifact Labels'!C11=0, " ",'Artifact Labels'!C11)</f>
        <v xml:space="preserve"> </v>
      </c>
      <c r="B11" s="136" t="str">
        <f t="shared" si="0"/>
        <v xml:space="preserve"> </v>
      </c>
      <c r="J11" s="113"/>
    </row>
    <row r="12" spans="1:10" x14ac:dyDescent="0.2">
      <c r="A12" s="137" t="str">
        <f>IF('Artifact Labels'!C12=0, " ",'Artifact Labels'!C12)</f>
        <v xml:space="preserve"> </v>
      </c>
      <c r="B12" s="136" t="str">
        <f t="shared" si="0"/>
        <v xml:space="preserve"> </v>
      </c>
      <c r="J12" s="113"/>
    </row>
    <row r="13" spans="1:10" x14ac:dyDescent="0.2">
      <c r="A13" s="137" t="str">
        <f>IF('Artifact Labels'!C13=0, " ",'Artifact Labels'!C13)</f>
        <v xml:space="preserve"> </v>
      </c>
      <c r="B13" s="136" t="str">
        <f t="shared" si="0"/>
        <v xml:space="preserve"> </v>
      </c>
      <c r="J13" s="113"/>
    </row>
    <row r="14" spans="1:10" x14ac:dyDescent="0.2">
      <c r="A14" s="137" t="str">
        <f>IF('Artifact Labels'!C14=0, " ",'Artifact Labels'!C14)</f>
        <v xml:space="preserve"> </v>
      </c>
      <c r="B14" s="136" t="str">
        <f t="shared" si="0"/>
        <v xml:space="preserve"> </v>
      </c>
      <c r="J14" s="113"/>
    </row>
    <row r="15" spans="1:10" x14ac:dyDescent="0.2">
      <c r="A15" s="137" t="str">
        <f>IF('Artifact Labels'!C15=0, " ",'Artifact Labels'!C15)</f>
        <v xml:space="preserve"> </v>
      </c>
      <c r="B15" s="136" t="str">
        <f t="shared" si="0"/>
        <v xml:space="preserve"> </v>
      </c>
      <c r="J15" s="113"/>
    </row>
    <row r="16" spans="1:10" x14ac:dyDescent="0.2">
      <c r="A16" s="20"/>
      <c r="B16" s="20"/>
      <c r="J16" s="113"/>
    </row>
    <row r="17" spans="1:10" x14ac:dyDescent="0.2">
      <c r="A17" s="20"/>
      <c r="B17" s="20"/>
      <c r="J17" s="113"/>
    </row>
    <row r="18" spans="1:10" x14ac:dyDescent="0.2">
      <c r="A18" s="20"/>
      <c r="B18" s="20"/>
      <c r="J18" s="113"/>
    </row>
    <row r="19" spans="1:10" x14ac:dyDescent="0.2">
      <c r="A19" s="20"/>
      <c r="B19" s="20"/>
      <c r="J19" s="113"/>
    </row>
    <row r="20" spans="1:10" x14ac:dyDescent="0.2">
      <c r="A20" s="20"/>
      <c r="B20" s="20"/>
      <c r="J20" s="113"/>
    </row>
    <row r="21" spans="1:10" x14ac:dyDescent="0.2">
      <c r="A21" s="20"/>
      <c r="B21" s="20"/>
      <c r="J21" s="113"/>
    </row>
    <row r="22" spans="1:10" x14ac:dyDescent="0.2">
      <c r="A22" s="20"/>
      <c r="B22" s="20"/>
      <c r="J22" s="113"/>
    </row>
    <row r="23" spans="1:10" x14ac:dyDescent="0.2">
      <c r="A23" s="20"/>
      <c r="B23" s="20"/>
      <c r="J23" s="113"/>
    </row>
    <row r="24" spans="1:10" x14ac:dyDescent="0.2">
      <c r="A24" s="20"/>
      <c r="B24" s="20"/>
      <c r="J24" s="113"/>
    </row>
    <row r="25" spans="1:10" x14ac:dyDescent="0.2">
      <c r="A25" s="20"/>
      <c r="B25" s="20"/>
      <c r="J25" s="113"/>
    </row>
    <row r="26" spans="1:10" x14ac:dyDescent="0.2">
      <c r="A26" s="20"/>
      <c r="B26" s="20"/>
      <c r="J26" s="113"/>
    </row>
    <row r="27" spans="1:10" x14ac:dyDescent="0.2">
      <c r="A27" s="20"/>
      <c r="B27" s="20"/>
      <c r="J27" s="113"/>
    </row>
    <row r="28" spans="1:10" x14ac:dyDescent="0.2">
      <c r="A28" s="20"/>
      <c r="B28" s="20"/>
      <c r="J28" s="113"/>
    </row>
    <row r="29" spans="1:10" x14ac:dyDescent="0.2">
      <c r="A29" s="20"/>
      <c r="B29" s="20"/>
      <c r="J29" s="113"/>
    </row>
    <row r="30" spans="1:10" x14ac:dyDescent="0.2">
      <c r="A30" s="20"/>
      <c r="B30" s="20"/>
      <c r="J30" s="113"/>
    </row>
    <row r="31" spans="1:10" x14ac:dyDescent="0.2">
      <c r="A31" s="20"/>
      <c r="B31" s="20"/>
      <c r="J31" s="113"/>
    </row>
    <row r="32" spans="1:10" x14ac:dyDescent="0.2">
      <c r="A32" s="20"/>
      <c r="B32" s="20"/>
      <c r="J32" s="113"/>
    </row>
    <row r="33" spans="1:10" x14ac:dyDescent="0.2">
      <c r="A33" s="20"/>
      <c r="B33" s="20"/>
      <c r="J33" s="113"/>
    </row>
    <row r="34" spans="1:10" x14ac:dyDescent="0.2">
      <c r="A34" s="20"/>
      <c r="J34" s="113"/>
    </row>
    <row r="35" spans="1:10" x14ac:dyDescent="0.2">
      <c r="A35" s="20"/>
      <c r="J35" s="113"/>
    </row>
    <row r="36" spans="1:10" x14ac:dyDescent="0.2">
      <c r="A36" s="20"/>
      <c r="J36" s="113"/>
    </row>
    <row r="37" spans="1:10" x14ac:dyDescent="0.2">
      <c r="A37" s="20"/>
      <c r="J37" s="113"/>
    </row>
    <row r="38" spans="1:10" x14ac:dyDescent="0.2">
      <c r="A38" s="20"/>
      <c r="J38" s="113"/>
    </row>
    <row r="39" spans="1:10" x14ac:dyDescent="0.2">
      <c r="A39" s="20"/>
      <c r="J39" s="113"/>
    </row>
    <row r="40" spans="1:10" x14ac:dyDescent="0.2">
      <c r="A40" s="20"/>
      <c r="J40" s="113"/>
    </row>
    <row r="41" spans="1:10" x14ac:dyDescent="0.2">
      <c r="A41" s="20"/>
      <c r="J41" s="113"/>
    </row>
    <row r="42" spans="1:10" x14ac:dyDescent="0.2">
      <c r="A42" s="20"/>
      <c r="J42" s="113"/>
    </row>
    <row r="43" spans="1:10" x14ac:dyDescent="0.2">
      <c r="A43" s="20"/>
      <c r="J43" s="113"/>
    </row>
    <row r="44" spans="1:10" x14ac:dyDescent="0.2">
      <c r="A44" s="20"/>
      <c r="J44" s="113"/>
    </row>
    <row r="45" spans="1:10" x14ac:dyDescent="0.2">
      <c r="A45" s="20"/>
      <c r="J45" s="113"/>
    </row>
    <row r="46" spans="1:10" x14ac:dyDescent="0.2">
      <c r="A46" s="20"/>
      <c r="J46" s="113"/>
    </row>
    <row r="47" spans="1:10" x14ac:dyDescent="0.2">
      <c r="A47" s="20"/>
      <c r="J47" s="113"/>
    </row>
    <row r="48" spans="1:10" x14ac:dyDescent="0.2">
      <c r="A48" s="20"/>
      <c r="J48" s="113"/>
    </row>
    <row r="49" spans="1:10" x14ac:dyDescent="0.2">
      <c r="A49" s="20"/>
      <c r="J49" s="113"/>
    </row>
    <row r="50" spans="1:10" x14ac:dyDescent="0.2">
      <c r="A50" s="20"/>
      <c r="J50" s="113"/>
    </row>
    <row r="51" spans="1:10" x14ac:dyDescent="0.2">
      <c r="A51" s="20"/>
      <c r="J51" s="113"/>
    </row>
    <row r="52" spans="1:10" x14ac:dyDescent="0.2">
      <c r="A52" s="20"/>
      <c r="J52" s="113"/>
    </row>
    <row r="53" spans="1:10" x14ac:dyDescent="0.2">
      <c r="A53" s="20"/>
      <c r="J53" s="113"/>
    </row>
    <row r="54" spans="1:10" x14ac:dyDescent="0.2">
      <c r="A54" s="20"/>
      <c r="J54" s="113"/>
    </row>
    <row r="55" spans="1:10" x14ac:dyDescent="0.2">
      <c r="A55" s="20"/>
      <c r="J55" s="113"/>
    </row>
    <row r="56" spans="1:10" x14ac:dyDescent="0.2">
      <c r="A56" s="20"/>
      <c r="J56" s="113"/>
    </row>
    <row r="57" spans="1:10" x14ac:dyDescent="0.2">
      <c r="A57" s="20"/>
      <c r="J57" s="113"/>
    </row>
    <row r="58" spans="1:10" x14ac:dyDescent="0.2">
      <c r="A58" s="20"/>
      <c r="J58" s="113"/>
    </row>
    <row r="59" spans="1:10" x14ac:dyDescent="0.2">
      <c r="A59" s="20"/>
      <c r="J59" s="113"/>
    </row>
    <row r="60" spans="1:10" x14ac:dyDescent="0.2">
      <c r="A60" s="20"/>
      <c r="J60" s="113"/>
    </row>
    <row r="61" spans="1:10" x14ac:dyDescent="0.2">
      <c r="A61" s="20"/>
      <c r="J61" s="113"/>
    </row>
    <row r="62" spans="1:10" x14ac:dyDescent="0.2">
      <c r="A62" s="20"/>
      <c r="J62" s="113"/>
    </row>
    <row r="63" spans="1:10" x14ac:dyDescent="0.2">
      <c r="A63" s="20"/>
      <c r="J63" s="113"/>
    </row>
    <row r="64" spans="1:10" x14ac:dyDescent="0.2">
      <c r="A64" s="20"/>
      <c r="J64" s="113"/>
    </row>
    <row r="65" spans="1:10" x14ac:dyDescent="0.2">
      <c r="A65" s="20"/>
      <c r="J65" s="113"/>
    </row>
    <row r="66" spans="1:10" x14ac:dyDescent="0.2">
      <c r="A66" s="20"/>
      <c r="J66" s="113"/>
    </row>
    <row r="67" spans="1:10" x14ac:dyDescent="0.2">
      <c r="A67" s="20"/>
      <c r="J67" s="113"/>
    </row>
    <row r="68" spans="1:10" x14ac:dyDescent="0.2">
      <c r="A68" s="20"/>
      <c r="J68" s="113"/>
    </row>
    <row r="69" spans="1:10" x14ac:dyDescent="0.2">
      <c r="A69" s="20"/>
      <c r="J69" s="113"/>
    </row>
    <row r="70" spans="1:10" x14ac:dyDescent="0.2">
      <c r="A70" s="20"/>
      <c r="J70" s="113"/>
    </row>
    <row r="71" spans="1:10" x14ac:dyDescent="0.2">
      <c r="A71" s="20"/>
      <c r="J71" s="113"/>
    </row>
    <row r="72" spans="1:10" x14ac:dyDescent="0.2">
      <c r="A72" s="20"/>
      <c r="J72" s="113"/>
    </row>
    <row r="73" spans="1:10" x14ac:dyDescent="0.2">
      <c r="A73" s="20"/>
      <c r="J73" s="113"/>
    </row>
    <row r="74" spans="1:10" x14ac:dyDescent="0.2">
      <c r="A74" s="20"/>
      <c r="J74" s="113"/>
    </row>
    <row r="75" spans="1:10" x14ac:dyDescent="0.2">
      <c r="A75" s="20"/>
      <c r="J75" s="113"/>
    </row>
    <row r="76" spans="1:10" x14ac:dyDescent="0.2">
      <c r="A76" s="20"/>
      <c r="J76" s="113"/>
    </row>
    <row r="77" spans="1:10" x14ac:dyDescent="0.2">
      <c r="A77" s="20"/>
      <c r="J77" s="113"/>
    </row>
    <row r="78" spans="1:10" x14ac:dyDescent="0.2">
      <c r="A78" s="20"/>
      <c r="J78" s="113"/>
    </row>
    <row r="79" spans="1:10" x14ac:dyDescent="0.2">
      <c r="A79" s="20"/>
      <c r="J79" s="113"/>
    </row>
    <row r="80" spans="1:10" x14ac:dyDescent="0.2">
      <c r="A80" s="20"/>
      <c r="J80" s="113"/>
    </row>
    <row r="81" spans="1:10" x14ac:dyDescent="0.2">
      <c r="A81" s="20"/>
      <c r="J81" s="113"/>
    </row>
    <row r="82" spans="1:10" x14ac:dyDescent="0.2">
      <c r="A82" s="20"/>
      <c r="J82" s="113"/>
    </row>
    <row r="83" spans="1:10" x14ac:dyDescent="0.2">
      <c r="A83" s="20"/>
      <c r="J83" s="113"/>
    </row>
    <row r="84" spans="1:10" x14ac:dyDescent="0.2">
      <c r="A84" s="20"/>
      <c r="J84" s="113"/>
    </row>
    <row r="85" spans="1:10" x14ac:dyDescent="0.2">
      <c r="A85" s="20"/>
      <c r="J85" s="113"/>
    </row>
    <row r="86" spans="1:10" x14ac:dyDescent="0.2">
      <c r="A86" s="20"/>
      <c r="J86" s="113"/>
    </row>
    <row r="87" spans="1:10" x14ac:dyDescent="0.2">
      <c r="A87" s="20"/>
      <c r="J87" s="113"/>
    </row>
    <row r="88" spans="1:10" x14ac:dyDescent="0.2">
      <c r="A88" s="20"/>
      <c r="J88" s="113"/>
    </row>
    <row r="89" spans="1:10" x14ac:dyDescent="0.2">
      <c r="A89" s="20"/>
      <c r="J89" s="113"/>
    </row>
    <row r="90" spans="1:10" x14ac:dyDescent="0.2">
      <c r="A90" s="20"/>
      <c r="J90" s="113"/>
    </row>
    <row r="91" spans="1:10" x14ac:dyDescent="0.2">
      <c r="A91" s="20"/>
      <c r="J91" s="113"/>
    </row>
    <row r="92" spans="1:10" x14ac:dyDescent="0.2">
      <c r="A92" s="20"/>
      <c r="J92" s="113"/>
    </row>
    <row r="93" spans="1:10" x14ac:dyDescent="0.2">
      <c r="A93" s="20"/>
      <c r="J93" s="113"/>
    </row>
    <row r="94" spans="1:10" x14ac:dyDescent="0.2">
      <c r="A94" s="20"/>
      <c r="J94" s="113"/>
    </row>
    <row r="95" spans="1:10" x14ac:dyDescent="0.2">
      <c r="A95" s="20"/>
      <c r="J95" s="113"/>
    </row>
    <row r="96" spans="1:10" x14ac:dyDescent="0.2">
      <c r="A96" s="20"/>
      <c r="J96" s="113"/>
    </row>
    <row r="97" spans="1:10" x14ac:dyDescent="0.2">
      <c r="A97" s="20"/>
      <c r="J97" s="113"/>
    </row>
    <row r="98" spans="1:10" x14ac:dyDescent="0.2">
      <c r="A98" s="20"/>
      <c r="J98" s="113"/>
    </row>
    <row r="99" spans="1:10" x14ac:dyDescent="0.2">
      <c r="A99" s="20"/>
      <c r="J99" s="113"/>
    </row>
    <row r="100" spans="1:10" x14ac:dyDescent="0.2">
      <c r="A100" s="20"/>
      <c r="J100" s="113"/>
    </row>
    <row r="101" spans="1:10" x14ac:dyDescent="0.2">
      <c r="A101" s="20"/>
      <c r="J101" s="113"/>
    </row>
    <row r="102" spans="1:10" x14ac:dyDescent="0.2">
      <c r="A102" s="20"/>
      <c r="J102" s="113"/>
    </row>
    <row r="103" spans="1:10" x14ac:dyDescent="0.2">
      <c r="A103" s="20"/>
      <c r="J103" s="113"/>
    </row>
    <row r="104" spans="1:10" x14ac:dyDescent="0.2">
      <c r="A104" s="20"/>
      <c r="J104" s="113"/>
    </row>
    <row r="105" spans="1:10" x14ac:dyDescent="0.2">
      <c r="A105" s="20"/>
      <c r="J105" s="113"/>
    </row>
    <row r="106" spans="1:10" x14ac:dyDescent="0.2">
      <c r="A106" s="20"/>
      <c r="J106" s="113"/>
    </row>
    <row r="107" spans="1:10" x14ac:dyDescent="0.2">
      <c r="A107" s="20"/>
      <c r="J107" s="113"/>
    </row>
    <row r="108" spans="1:10" x14ac:dyDescent="0.2">
      <c r="A108" s="20"/>
      <c r="J108" s="113"/>
    </row>
    <row r="109" spans="1:10" x14ac:dyDescent="0.2">
      <c r="A109" s="20"/>
      <c r="J109" s="113"/>
    </row>
    <row r="110" spans="1:10" x14ac:dyDescent="0.2">
      <c r="A110" s="20"/>
      <c r="J110" s="113"/>
    </row>
    <row r="111" spans="1:10" x14ac:dyDescent="0.2">
      <c r="A111" s="20"/>
      <c r="J111" s="113"/>
    </row>
    <row r="112" spans="1:10" x14ac:dyDescent="0.2">
      <c r="A112" s="20"/>
      <c r="J112" s="113"/>
    </row>
    <row r="113" spans="1:10" x14ac:dyDescent="0.2">
      <c r="A113" s="20"/>
      <c r="J113" s="113"/>
    </row>
    <row r="114" spans="1:10" x14ac:dyDescent="0.2">
      <c r="A114" s="20"/>
      <c r="J114" s="113"/>
    </row>
    <row r="115" spans="1:10" x14ac:dyDescent="0.2">
      <c r="A115" s="20"/>
      <c r="J115" s="113"/>
    </row>
    <row r="116" spans="1:10" x14ac:dyDescent="0.2">
      <c r="A116" s="20"/>
      <c r="J116" s="113"/>
    </row>
    <row r="117" spans="1:10" x14ac:dyDescent="0.2">
      <c r="A117" s="20"/>
      <c r="J117" s="113"/>
    </row>
    <row r="118" spans="1:10" x14ac:dyDescent="0.2">
      <c r="A118" s="20"/>
      <c r="J118" s="113"/>
    </row>
    <row r="119" spans="1:10" x14ac:dyDescent="0.2">
      <c r="A119" s="20"/>
      <c r="J119" s="113"/>
    </row>
    <row r="120" spans="1:10" x14ac:dyDescent="0.2">
      <c r="A120" s="20"/>
      <c r="J120" s="113"/>
    </row>
    <row r="121" spans="1:10" x14ac:dyDescent="0.2">
      <c r="A121" s="20"/>
      <c r="J121" s="113"/>
    </row>
    <row r="122" spans="1:10" x14ac:dyDescent="0.2">
      <c r="A122" s="20"/>
      <c r="J122" s="113"/>
    </row>
    <row r="123" spans="1:10" x14ac:dyDescent="0.2">
      <c r="A123" s="20"/>
      <c r="J123" s="113"/>
    </row>
    <row r="124" spans="1:10" x14ac:dyDescent="0.2">
      <c r="A124" s="20"/>
      <c r="J124" s="113"/>
    </row>
    <row r="125" spans="1:10" x14ac:dyDescent="0.2">
      <c r="A125" s="20"/>
      <c r="J125" s="113"/>
    </row>
    <row r="126" spans="1:10" x14ac:dyDescent="0.2">
      <c r="A126" s="20"/>
      <c r="J126" s="113"/>
    </row>
    <row r="127" spans="1:10" x14ac:dyDescent="0.2">
      <c r="A127" s="20"/>
      <c r="J127" s="113"/>
    </row>
    <row r="128" spans="1:10" x14ac:dyDescent="0.2">
      <c r="A128" s="20"/>
      <c r="J128" s="113"/>
    </row>
    <row r="129" spans="1:10" x14ac:dyDescent="0.2">
      <c r="A129" s="20"/>
      <c r="J129" s="113"/>
    </row>
    <row r="130" spans="1:10" x14ac:dyDescent="0.2">
      <c r="A130" s="20"/>
      <c r="J130" s="113"/>
    </row>
    <row r="131" spans="1:10" x14ac:dyDescent="0.2">
      <c r="A131" s="20"/>
      <c r="J131" s="113"/>
    </row>
    <row r="132" spans="1:10" x14ac:dyDescent="0.2">
      <c r="A132" s="20"/>
      <c r="J132" s="113"/>
    </row>
    <row r="133" spans="1:10" x14ac:dyDescent="0.2">
      <c r="A133" s="20"/>
      <c r="J133" s="113"/>
    </row>
    <row r="134" spans="1:10" x14ac:dyDescent="0.2">
      <c r="A134" s="20"/>
      <c r="J134" s="113"/>
    </row>
    <row r="135" spans="1:10" x14ac:dyDescent="0.2">
      <c r="A135" s="20"/>
      <c r="J135" s="113"/>
    </row>
    <row r="136" spans="1:10" x14ac:dyDescent="0.2">
      <c r="A136" s="20"/>
      <c r="J136" s="113"/>
    </row>
    <row r="137" spans="1:10" x14ac:dyDescent="0.2">
      <c r="A137" s="20"/>
      <c r="J137" s="113"/>
    </row>
    <row r="138" spans="1:10" x14ac:dyDescent="0.2">
      <c r="A138" s="20"/>
      <c r="J138" s="113"/>
    </row>
    <row r="139" spans="1:10" x14ac:dyDescent="0.2">
      <c r="A139" s="20"/>
      <c r="J139" s="113"/>
    </row>
    <row r="140" spans="1:10" x14ac:dyDescent="0.2">
      <c r="A140" s="20"/>
      <c r="J140" s="113"/>
    </row>
    <row r="141" spans="1:10" x14ac:dyDescent="0.2">
      <c r="A141" s="20"/>
      <c r="J141" s="113"/>
    </row>
    <row r="142" spans="1:10" x14ac:dyDescent="0.2">
      <c r="A142" s="20"/>
      <c r="J142" s="113"/>
    </row>
    <row r="143" spans="1:10" x14ac:dyDescent="0.2">
      <c r="A143" s="20"/>
      <c r="J143" s="113"/>
    </row>
    <row r="144" spans="1:10" x14ac:dyDescent="0.2">
      <c r="A144" s="20"/>
      <c r="J144" s="113"/>
    </row>
    <row r="145" spans="1:10" x14ac:dyDescent="0.2">
      <c r="A145" s="20"/>
      <c r="J145" s="113"/>
    </row>
    <row r="146" spans="1:10" x14ac:dyDescent="0.2">
      <c r="A146" s="20"/>
      <c r="J146" s="113"/>
    </row>
    <row r="147" spans="1:10" x14ac:dyDescent="0.2">
      <c r="A147" s="20"/>
      <c r="J147" s="113"/>
    </row>
    <row r="148" spans="1:10" x14ac:dyDescent="0.2">
      <c r="A148" s="20"/>
      <c r="J148" s="113"/>
    </row>
    <row r="149" spans="1:10" x14ac:dyDescent="0.2">
      <c r="A149" s="20"/>
      <c r="J149" s="113"/>
    </row>
    <row r="150" spans="1:10" x14ac:dyDescent="0.2">
      <c r="A150" s="20"/>
      <c r="J150" s="113"/>
    </row>
    <row r="151" spans="1:10" x14ac:dyDescent="0.2">
      <c r="A151" s="20"/>
      <c r="J151" s="113"/>
    </row>
    <row r="152" spans="1:10" x14ac:dyDescent="0.2">
      <c r="A152" s="20"/>
      <c r="J152" s="113"/>
    </row>
    <row r="153" spans="1:10" x14ac:dyDescent="0.2">
      <c r="A153" s="20"/>
      <c r="J153" s="113"/>
    </row>
    <row r="154" spans="1:10" x14ac:dyDescent="0.2">
      <c r="A154" s="20"/>
      <c r="J154" s="113"/>
    </row>
    <row r="155" spans="1:10" x14ac:dyDescent="0.2">
      <c r="A155" s="20"/>
      <c r="J155" s="113"/>
    </row>
    <row r="156" spans="1:10" x14ac:dyDescent="0.2">
      <c r="A156" s="20"/>
      <c r="J156" s="113"/>
    </row>
    <row r="157" spans="1:10" x14ac:dyDescent="0.2">
      <c r="A157" s="20"/>
      <c r="J157" s="113"/>
    </row>
    <row r="158" spans="1:10" x14ac:dyDescent="0.2">
      <c r="A158" s="20"/>
      <c r="J158" s="113"/>
    </row>
    <row r="159" spans="1:10" x14ac:dyDescent="0.2">
      <c r="A159" s="20"/>
      <c r="J159" s="113"/>
    </row>
    <row r="160" spans="1:10" x14ac:dyDescent="0.2">
      <c r="A160" s="20"/>
      <c r="J160" s="113"/>
    </row>
    <row r="161" spans="1:10" x14ac:dyDescent="0.2">
      <c r="A161" s="20"/>
      <c r="J161" s="113"/>
    </row>
    <row r="162" spans="1:10" x14ac:dyDescent="0.2">
      <c r="A162" s="20"/>
      <c r="J162" s="113"/>
    </row>
    <row r="163" spans="1:10" x14ac:dyDescent="0.2">
      <c r="A163" s="20"/>
      <c r="J163" s="113"/>
    </row>
    <row r="164" spans="1:10" x14ac:dyDescent="0.2">
      <c r="A164" s="20"/>
      <c r="J164" s="113"/>
    </row>
    <row r="165" spans="1:10" x14ac:dyDescent="0.2">
      <c r="A165" s="20"/>
      <c r="J165" s="113"/>
    </row>
    <row r="166" spans="1:10" x14ac:dyDescent="0.2">
      <c r="A166" s="20"/>
      <c r="J166" s="113"/>
    </row>
    <row r="167" spans="1:10" x14ac:dyDescent="0.2">
      <c r="J167" s="113"/>
    </row>
    <row r="168" spans="1:10" x14ac:dyDescent="0.2">
      <c r="J168" s="113"/>
    </row>
    <row r="169" spans="1:10" x14ac:dyDescent="0.2">
      <c r="J169" s="113"/>
    </row>
    <row r="170" spans="1:10" x14ac:dyDescent="0.2">
      <c r="J170" s="113"/>
    </row>
    <row r="171" spans="1:10" x14ac:dyDescent="0.2">
      <c r="J171" s="113"/>
    </row>
    <row r="172" spans="1:10" x14ac:dyDescent="0.2">
      <c r="J172" s="113"/>
    </row>
    <row r="173" spans="1:10" x14ac:dyDescent="0.2">
      <c r="J173" s="113"/>
    </row>
    <row r="174" spans="1:10" x14ac:dyDescent="0.2">
      <c r="J174" s="113"/>
    </row>
    <row r="175" spans="1:10" x14ac:dyDescent="0.2">
      <c r="J175" s="113"/>
    </row>
    <row r="176" spans="1:10" x14ac:dyDescent="0.2">
      <c r="J176" s="113"/>
    </row>
    <row r="177" spans="10:10" x14ac:dyDescent="0.2">
      <c r="J177" s="113"/>
    </row>
    <row r="178" spans="10:10" x14ac:dyDescent="0.2">
      <c r="J178" s="113"/>
    </row>
    <row r="179" spans="10:10" x14ac:dyDescent="0.2">
      <c r="J179" s="113"/>
    </row>
    <row r="180" spans="10:10" x14ac:dyDescent="0.2">
      <c r="J180" s="113"/>
    </row>
    <row r="181" spans="10:10" x14ac:dyDescent="0.2">
      <c r="J181" s="113"/>
    </row>
    <row r="182" spans="10:10" x14ac:dyDescent="0.2">
      <c r="J182" s="113"/>
    </row>
    <row r="183" spans="10:10" x14ac:dyDescent="0.2">
      <c r="J183" s="113"/>
    </row>
    <row r="184" spans="10:10" x14ac:dyDescent="0.2">
      <c r="J184" s="113"/>
    </row>
    <row r="185" spans="10:10" x14ac:dyDescent="0.2">
      <c r="J185" s="113"/>
    </row>
    <row r="186" spans="10:10" x14ac:dyDescent="0.2">
      <c r="J186" s="113"/>
    </row>
    <row r="187" spans="10:10" x14ac:dyDescent="0.2">
      <c r="J187" s="113"/>
    </row>
    <row r="188" spans="10:10" x14ac:dyDescent="0.2">
      <c r="J188" s="113"/>
    </row>
    <row r="189" spans="10:10" x14ac:dyDescent="0.2">
      <c r="J189" s="113"/>
    </row>
    <row r="190" spans="10:10" x14ac:dyDescent="0.2">
      <c r="J190" s="113"/>
    </row>
    <row r="191" spans="10:10" x14ac:dyDescent="0.2">
      <c r="J191" s="113"/>
    </row>
    <row r="192" spans="10:10" x14ac:dyDescent="0.2">
      <c r="J192" s="113"/>
    </row>
    <row r="193" spans="10:10" x14ac:dyDescent="0.2">
      <c r="J193" s="113"/>
    </row>
    <row r="194" spans="10:10" x14ac:dyDescent="0.2">
      <c r="J194" s="113"/>
    </row>
    <row r="195" spans="10:10" x14ac:dyDescent="0.2">
      <c r="J195" s="113"/>
    </row>
    <row r="196" spans="10:10" x14ac:dyDescent="0.2">
      <c r="J196" s="113"/>
    </row>
    <row r="197" spans="10:10" x14ac:dyDescent="0.2">
      <c r="J197" s="113"/>
    </row>
    <row r="198" spans="10:10" x14ac:dyDescent="0.2">
      <c r="J198" s="113"/>
    </row>
    <row r="199" spans="10:10" x14ac:dyDescent="0.2">
      <c r="J199" s="113"/>
    </row>
    <row r="200" spans="10:10" x14ac:dyDescent="0.2">
      <c r="J200" s="113"/>
    </row>
    <row r="201" spans="10:10" x14ac:dyDescent="0.2">
      <c r="J201" s="113"/>
    </row>
    <row r="202" spans="10:10" x14ac:dyDescent="0.2">
      <c r="J202" s="113"/>
    </row>
    <row r="203" spans="10:10" x14ac:dyDescent="0.2">
      <c r="J203" s="113"/>
    </row>
    <row r="204" spans="10:10" x14ac:dyDescent="0.2">
      <c r="J204" s="113"/>
    </row>
    <row r="205" spans="10:10" x14ac:dyDescent="0.2">
      <c r="J205" s="113"/>
    </row>
    <row r="206" spans="10:10" x14ac:dyDescent="0.2">
      <c r="J206" s="113"/>
    </row>
    <row r="207" spans="10:10" x14ac:dyDescent="0.2">
      <c r="J207" s="113"/>
    </row>
    <row r="208" spans="10:10" x14ac:dyDescent="0.2">
      <c r="J208" s="113"/>
    </row>
    <row r="209" spans="10:10" x14ac:dyDescent="0.2">
      <c r="J209" s="113"/>
    </row>
    <row r="210" spans="10:10" x14ac:dyDescent="0.2">
      <c r="J210" s="113"/>
    </row>
    <row r="211" spans="10:10" x14ac:dyDescent="0.2">
      <c r="J211" s="113"/>
    </row>
    <row r="212" spans="10:10" x14ac:dyDescent="0.2">
      <c r="J212" s="113"/>
    </row>
    <row r="213" spans="10:10" x14ac:dyDescent="0.2">
      <c r="J213" s="113"/>
    </row>
    <row r="214" spans="10:10" x14ac:dyDescent="0.2">
      <c r="J214" s="113"/>
    </row>
    <row r="215" spans="10:10" x14ac:dyDescent="0.2">
      <c r="J215" s="113"/>
    </row>
    <row r="216" spans="10:10" x14ac:dyDescent="0.2">
      <c r="J216" s="113"/>
    </row>
    <row r="217" spans="10:10" x14ac:dyDescent="0.2">
      <c r="J217" s="113"/>
    </row>
    <row r="218" spans="10:10" x14ac:dyDescent="0.2">
      <c r="J218" s="113"/>
    </row>
    <row r="219" spans="10:10" x14ac:dyDescent="0.2">
      <c r="J219" s="113"/>
    </row>
    <row r="220" spans="10:10" x14ac:dyDescent="0.2">
      <c r="J220" s="113"/>
    </row>
    <row r="221" spans="10:10" x14ac:dyDescent="0.2">
      <c r="J221" s="113"/>
    </row>
    <row r="222" spans="10:10" x14ac:dyDescent="0.2">
      <c r="J222" s="113"/>
    </row>
    <row r="223" spans="10:10" x14ac:dyDescent="0.2">
      <c r="J223" s="113"/>
    </row>
    <row r="224" spans="10:10" x14ac:dyDescent="0.2">
      <c r="J224" s="113"/>
    </row>
    <row r="225" spans="10:10" x14ac:dyDescent="0.2">
      <c r="J225" s="113"/>
    </row>
    <row r="226" spans="10:10" x14ac:dyDescent="0.2">
      <c r="J226" s="113"/>
    </row>
    <row r="227" spans="10:10" x14ac:dyDescent="0.2">
      <c r="J227" s="113"/>
    </row>
    <row r="228" spans="10:10" x14ac:dyDescent="0.2">
      <c r="J228" s="113"/>
    </row>
    <row r="229" spans="10:10" x14ac:dyDescent="0.2">
      <c r="J229" s="113"/>
    </row>
    <row r="230" spans="10:10" x14ac:dyDescent="0.2">
      <c r="J230" s="113"/>
    </row>
    <row r="231" spans="10:10" x14ac:dyDescent="0.2">
      <c r="J231" s="113"/>
    </row>
    <row r="232" spans="10:10" x14ac:dyDescent="0.2">
      <c r="J232" s="113"/>
    </row>
    <row r="233" spans="10:10" x14ac:dyDescent="0.2">
      <c r="J233" s="113"/>
    </row>
    <row r="234" spans="10:10" x14ac:dyDescent="0.2">
      <c r="J234" s="113"/>
    </row>
    <row r="235" spans="10:10" x14ac:dyDescent="0.2">
      <c r="J235" s="113"/>
    </row>
    <row r="236" spans="10:10" x14ac:dyDescent="0.2">
      <c r="J236" s="113"/>
    </row>
    <row r="237" spans="10:10" x14ac:dyDescent="0.2">
      <c r="J237" s="113"/>
    </row>
    <row r="238" spans="10:10" x14ac:dyDescent="0.2">
      <c r="J238" s="113"/>
    </row>
    <row r="239" spans="10:10" x14ac:dyDescent="0.2">
      <c r="J239" s="113"/>
    </row>
    <row r="240" spans="10:10" x14ac:dyDescent="0.2">
      <c r="J240" s="113"/>
    </row>
    <row r="241" spans="10:10" x14ac:dyDescent="0.2">
      <c r="J241" s="113"/>
    </row>
    <row r="242" spans="10:10" x14ac:dyDescent="0.2">
      <c r="J242" s="113"/>
    </row>
    <row r="243" spans="10:10" x14ac:dyDescent="0.2">
      <c r="J243" s="113"/>
    </row>
    <row r="244" spans="10:10" x14ac:dyDescent="0.2">
      <c r="J244" s="113"/>
    </row>
    <row r="245" spans="10:10" x14ac:dyDescent="0.2">
      <c r="J245" s="113"/>
    </row>
    <row r="246" spans="10:10" x14ac:dyDescent="0.2">
      <c r="J246" s="113"/>
    </row>
    <row r="247" spans="10:10" x14ac:dyDescent="0.2">
      <c r="J247" s="113"/>
    </row>
    <row r="248" spans="10:10" x14ac:dyDescent="0.2">
      <c r="J248" s="113"/>
    </row>
    <row r="249" spans="10:10" x14ac:dyDescent="0.2">
      <c r="J249" s="113"/>
    </row>
    <row r="250" spans="10:10" x14ac:dyDescent="0.2">
      <c r="J250" s="113"/>
    </row>
    <row r="251" spans="10:10" x14ac:dyDescent="0.2">
      <c r="J251" s="113"/>
    </row>
    <row r="252" spans="10:10" x14ac:dyDescent="0.2">
      <c r="J252" s="113"/>
    </row>
    <row r="253" spans="10:10" x14ac:dyDescent="0.2">
      <c r="J253" s="113"/>
    </row>
    <row r="254" spans="10:10" x14ac:dyDescent="0.2">
      <c r="J254" s="113"/>
    </row>
    <row r="255" spans="10:10" x14ac:dyDescent="0.2">
      <c r="J255" s="113"/>
    </row>
    <row r="256" spans="10:10" x14ac:dyDescent="0.2">
      <c r="J256" s="113"/>
    </row>
    <row r="257" spans="10:10" x14ac:dyDescent="0.2">
      <c r="J257" s="113"/>
    </row>
    <row r="258" spans="10:10" x14ac:dyDescent="0.2">
      <c r="J258" s="113"/>
    </row>
    <row r="259" spans="10:10" x14ac:dyDescent="0.2">
      <c r="J259" s="113"/>
    </row>
    <row r="260" spans="10:10" x14ac:dyDescent="0.2">
      <c r="J260" s="113"/>
    </row>
  </sheetData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41C-05A7-47DB-B2F7-30F4ED75AD13}">
  <sheetPr codeName="Sheet12">
    <tabColor rgb="FFB58629"/>
  </sheetPr>
  <dimension ref="A1:J261"/>
  <sheetViews>
    <sheetView topLeftCell="A2" zoomScale="120" zoomScaleNormal="120" zoomScaleSheetLayoutView="100" workbookViewId="0">
      <selection activeCell="I44" sqref="I44"/>
    </sheetView>
  </sheetViews>
  <sheetFormatPr defaultRowHeight="12.75" x14ac:dyDescent="0.2"/>
  <cols>
    <col min="1" max="1" width="27.7109375" bestFit="1" customWidth="1"/>
    <col min="2" max="2" width="19.42578125" style="1" bestFit="1" customWidth="1"/>
    <col min="3" max="3" width="14.140625" style="1" bestFit="1" customWidth="1"/>
    <col min="4" max="4" width="11.28515625" style="1" customWidth="1"/>
    <col min="5" max="5" width="20.140625" bestFit="1" customWidth="1"/>
    <col min="10" max="10" width="9.140625" style="114"/>
  </cols>
  <sheetData>
    <row r="1" spans="1:5" s="15" customFormat="1" x14ac:dyDescent="0.2">
      <c r="A1" s="112" t="s">
        <v>126</v>
      </c>
      <c r="B1" s="15" t="s">
        <v>127</v>
      </c>
      <c r="C1" s="15" t="s">
        <v>105</v>
      </c>
    </row>
    <row r="2" spans="1:5" x14ac:dyDescent="0.2">
      <c r="A2" s="104"/>
      <c r="B2" s="125" t="str">
        <f>"PED"&amp;-A2</f>
        <v>PED0</v>
      </c>
      <c r="C2" s="126" t="str">
        <f>IF(A2&lt;&gt;"",B2," ")</f>
        <v xml:space="preserve"> </v>
      </c>
      <c r="D2"/>
      <c r="E2" s="124" t="s">
        <v>102</v>
      </c>
    </row>
    <row r="3" spans="1:5" x14ac:dyDescent="0.2">
      <c r="A3" s="104"/>
      <c r="B3" s="125" t="str">
        <f t="shared" ref="B3:B9" si="0">"PED"&amp;-A3</f>
        <v>PED0</v>
      </c>
      <c r="C3" s="126" t="str">
        <f t="shared" ref="C3:C17" si="1">IF(A3&lt;&gt;"",B3," ")</f>
        <v xml:space="preserve"> </v>
      </c>
      <c r="D3"/>
      <c r="E3" s="124" t="s">
        <v>103</v>
      </c>
    </row>
    <row r="4" spans="1:5" x14ac:dyDescent="0.2">
      <c r="A4" s="104"/>
      <c r="B4" s="125" t="str">
        <f t="shared" si="0"/>
        <v>PED0</v>
      </c>
      <c r="C4" s="126" t="str">
        <f t="shared" si="1"/>
        <v xml:space="preserve"> </v>
      </c>
      <c r="D4" s="83"/>
      <c r="E4" s="124"/>
    </row>
    <row r="5" spans="1:5" x14ac:dyDescent="0.2">
      <c r="A5" s="104"/>
      <c r="B5" s="125" t="str">
        <f t="shared" si="0"/>
        <v>PED0</v>
      </c>
      <c r="C5" s="126" t="str">
        <f t="shared" si="1"/>
        <v xml:space="preserve"> </v>
      </c>
      <c r="D5"/>
    </row>
    <row r="6" spans="1:5" x14ac:dyDescent="0.2">
      <c r="A6" s="104"/>
      <c r="B6" s="125" t="str">
        <f t="shared" si="0"/>
        <v>PED0</v>
      </c>
      <c r="C6" s="126" t="str">
        <f t="shared" si="1"/>
        <v xml:space="preserve"> </v>
      </c>
      <c r="D6"/>
    </row>
    <row r="7" spans="1:5" x14ac:dyDescent="0.2">
      <c r="A7" s="104"/>
      <c r="B7" s="125" t="str">
        <f t="shared" si="0"/>
        <v>PED0</v>
      </c>
      <c r="C7" s="126" t="str">
        <f t="shared" si="1"/>
        <v xml:space="preserve"> </v>
      </c>
      <c r="D7"/>
    </row>
    <row r="8" spans="1:5" x14ac:dyDescent="0.2">
      <c r="A8" s="104"/>
      <c r="B8" s="125" t="str">
        <f t="shared" si="0"/>
        <v>PED0</v>
      </c>
      <c r="C8" s="126" t="str">
        <f t="shared" si="1"/>
        <v xml:space="preserve"> </v>
      </c>
      <c r="D8"/>
    </row>
    <row r="9" spans="1:5" x14ac:dyDescent="0.2">
      <c r="A9" s="104"/>
      <c r="B9" s="125" t="str">
        <f t="shared" si="0"/>
        <v>PED0</v>
      </c>
      <c r="C9" s="126" t="str">
        <f t="shared" si="1"/>
        <v xml:space="preserve"> </v>
      </c>
    </row>
    <row r="10" spans="1:5" x14ac:dyDescent="0.2">
      <c r="A10" s="104"/>
      <c r="B10" s="125" t="str">
        <f>"AH"&amp;-A10</f>
        <v>AH0</v>
      </c>
      <c r="C10" s="126" t="str">
        <f t="shared" si="1"/>
        <v xml:space="preserve"> </v>
      </c>
    </row>
    <row r="11" spans="1:5" x14ac:dyDescent="0.2">
      <c r="A11" s="104"/>
      <c r="B11" s="125" t="str">
        <f t="shared" ref="B11:B17" si="2">"AH"&amp;-A11</f>
        <v>AH0</v>
      </c>
      <c r="C11" s="126" t="str">
        <f t="shared" si="1"/>
        <v xml:space="preserve"> </v>
      </c>
    </row>
    <row r="12" spans="1:5" x14ac:dyDescent="0.2">
      <c r="A12" s="104"/>
      <c r="B12" s="125" t="str">
        <f t="shared" si="2"/>
        <v>AH0</v>
      </c>
      <c r="C12" s="126" t="str">
        <f t="shared" si="1"/>
        <v xml:space="preserve"> </v>
      </c>
    </row>
    <row r="13" spans="1:5" x14ac:dyDescent="0.2">
      <c r="A13" s="104"/>
      <c r="B13" s="125" t="str">
        <f t="shared" si="2"/>
        <v>AH0</v>
      </c>
      <c r="C13" s="126" t="str">
        <f t="shared" si="1"/>
        <v xml:space="preserve"> </v>
      </c>
    </row>
    <row r="14" spans="1:5" x14ac:dyDescent="0.2">
      <c r="A14" s="104"/>
      <c r="B14" s="125" t="str">
        <f t="shared" si="2"/>
        <v>AH0</v>
      </c>
      <c r="C14" s="126" t="str">
        <f t="shared" si="1"/>
        <v xml:space="preserve"> </v>
      </c>
    </row>
    <row r="15" spans="1:5" x14ac:dyDescent="0.2">
      <c r="A15" s="104"/>
      <c r="B15" s="125" t="str">
        <f t="shared" si="2"/>
        <v>AH0</v>
      </c>
      <c r="C15" s="126" t="str">
        <f t="shared" si="1"/>
        <v xml:space="preserve"> </v>
      </c>
    </row>
    <row r="16" spans="1:5" x14ac:dyDescent="0.2">
      <c r="A16" s="104"/>
      <c r="B16" s="125" t="str">
        <f t="shared" si="2"/>
        <v>AH0</v>
      </c>
      <c r="C16" s="126" t="str">
        <f t="shared" ref="C16" si="3">IF(A16&lt;&gt;"",B16," ")</f>
        <v xml:space="preserve"> </v>
      </c>
    </row>
    <row r="17" spans="1:10" x14ac:dyDescent="0.2">
      <c r="A17" s="104"/>
      <c r="B17" s="125" t="str">
        <f t="shared" si="2"/>
        <v>AH0</v>
      </c>
      <c r="C17" s="126" t="str">
        <f t="shared" si="1"/>
        <v xml:space="preserve"> </v>
      </c>
    </row>
    <row r="18" spans="1:10" x14ac:dyDescent="0.2">
      <c r="A18" s="15"/>
      <c r="B18" s="15"/>
      <c r="J18" s="113"/>
    </row>
    <row r="19" spans="1:10" x14ac:dyDescent="0.2">
      <c r="A19" s="15"/>
      <c r="B19" s="15"/>
      <c r="J19" s="113"/>
    </row>
    <row r="20" spans="1:10" x14ac:dyDescent="0.2">
      <c r="A20" s="15"/>
      <c r="B20" s="15"/>
      <c r="J20" s="113"/>
    </row>
    <row r="21" spans="1:10" x14ac:dyDescent="0.2">
      <c r="A21" s="15"/>
      <c r="B21" s="15"/>
      <c r="J21" s="113"/>
    </row>
    <row r="22" spans="1:10" x14ac:dyDescent="0.2">
      <c r="A22" s="15"/>
      <c r="B22" s="15"/>
      <c r="J22" s="113"/>
    </row>
    <row r="23" spans="1:10" x14ac:dyDescent="0.2">
      <c r="A23" s="15"/>
      <c r="B23" s="15"/>
      <c r="J23" s="113"/>
    </row>
    <row r="24" spans="1:10" x14ac:dyDescent="0.2">
      <c r="A24" s="15"/>
      <c r="B24" s="15"/>
      <c r="J24" s="113"/>
    </row>
    <row r="25" spans="1:10" x14ac:dyDescent="0.2">
      <c r="A25" s="15"/>
      <c r="B25" s="15"/>
      <c r="J25" s="113"/>
    </row>
    <row r="26" spans="1:10" x14ac:dyDescent="0.2">
      <c r="A26" s="15"/>
      <c r="B26" s="15"/>
      <c r="J26" s="113"/>
    </row>
    <row r="27" spans="1:10" x14ac:dyDescent="0.2">
      <c r="A27" s="15"/>
      <c r="B27" s="15"/>
      <c r="J27" s="113"/>
    </row>
    <row r="28" spans="1:10" x14ac:dyDescent="0.2">
      <c r="A28" s="15"/>
      <c r="B28" s="15"/>
      <c r="J28" s="113"/>
    </row>
    <row r="29" spans="1:10" x14ac:dyDescent="0.2">
      <c r="A29" s="15"/>
      <c r="B29" s="15"/>
      <c r="J29" s="113"/>
    </row>
    <row r="30" spans="1:10" x14ac:dyDescent="0.2">
      <c r="A30" s="15"/>
      <c r="B30" s="15"/>
      <c r="J30" s="113"/>
    </row>
    <row r="31" spans="1:10" x14ac:dyDescent="0.2">
      <c r="A31" s="15"/>
      <c r="B31" s="15"/>
      <c r="J31" s="113"/>
    </row>
    <row r="32" spans="1:10" x14ac:dyDescent="0.2">
      <c r="A32" s="15"/>
      <c r="B32" s="15"/>
      <c r="J32" s="113"/>
    </row>
    <row r="33" spans="1:10" x14ac:dyDescent="0.2">
      <c r="A33" s="15"/>
      <c r="B33" s="15"/>
      <c r="J33" s="113"/>
    </row>
    <row r="34" spans="1:10" x14ac:dyDescent="0.2">
      <c r="A34" s="15"/>
      <c r="B34" s="15"/>
      <c r="J34" s="113"/>
    </row>
    <row r="35" spans="1:10" x14ac:dyDescent="0.2">
      <c r="A35" s="15"/>
      <c r="J35" s="113"/>
    </row>
    <row r="36" spans="1:10" x14ac:dyDescent="0.2">
      <c r="A36" s="15"/>
      <c r="J36" s="113"/>
    </row>
    <row r="37" spans="1:10" x14ac:dyDescent="0.2">
      <c r="A37" s="15"/>
      <c r="J37" s="113"/>
    </row>
    <row r="38" spans="1:10" x14ac:dyDescent="0.2">
      <c r="A38" s="15"/>
      <c r="J38" s="113"/>
    </row>
    <row r="39" spans="1:10" x14ac:dyDescent="0.2">
      <c r="A39" s="15"/>
      <c r="J39" s="113"/>
    </row>
    <row r="40" spans="1:10" x14ac:dyDescent="0.2">
      <c r="A40" s="15"/>
      <c r="J40" s="113"/>
    </row>
    <row r="41" spans="1:10" x14ac:dyDescent="0.2">
      <c r="A41" s="15"/>
      <c r="J41" s="113"/>
    </row>
    <row r="42" spans="1:10" x14ac:dyDescent="0.2">
      <c r="A42" s="15"/>
      <c r="J42" s="113"/>
    </row>
    <row r="43" spans="1:10" x14ac:dyDescent="0.2">
      <c r="A43" s="15"/>
      <c r="J43" s="113"/>
    </row>
    <row r="44" spans="1:10" x14ac:dyDescent="0.2">
      <c r="A44" s="15"/>
      <c r="J44" s="113"/>
    </row>
    <row r="45" spans="1:10" x14ac:dyDescent="0.2">
      <c r="A45" s="15"/>
      <c r="J45" s="113"/>
    </row>
    <row r="46" spans="1:10" x14ac:dyDescent="0.2">
      <c r="A46" s="15"/>
      <c r="J46" s="113"/>
    </row>
    <row r="47" spans="1:10" x14ac:dyDescent="0.2">
      <c r="A47" s="15"/>
      <c r="J47" s="113"/>
    </row>
    <row r="48" spans="1:10" x14ac:dyDescent="0.2">
      <c r="A48" s="15"/>
      <c r="J48" s="113"/>
    </row>
    <row r="49" spans="1:10" x14ac:dyDescent="0.2">
      <c r="A49" s="15"/>
      <c r="J49" s="113"/>
    </row>
    <row r="50" spans="1:10" x14ac:dyDescent="0.2">
      <c r="A50" s="15"/>
      <c r="J50" s="113"/>
    </row>
    <row r="51" spans="1:10" x14ac:dyDescent="0.2">
      <c r="A51" s="15"/>
      <c r="J51" s="113"/>
    </row>
    <row r="52" spans="1:10" x14ac:dyDescent="0.2">
      <c r="A52" s="15"/>
      <c r="J52" s="113"/>
    </row>
    <row r="53" spans="1:10" x14ac:dyDescent="0.2">
      <c r="A53" s="15"/>
      <c r="J53" s="113"/>
    </row>
    <row r="54" spans="1:10" x14ac:dyDescent="0.2">
      <c r="A54" s="15"/>
      <c r="J54" s="113"/>
    </row>
    <row r="55" spans="1:10" x14ac:dyDescent="0.2">
      <c r="A55" s="15"/>
      <c r="J55" s="113"/>
    </row>
    <row r="56" spans="1:10" x14ac:dyDescent="0.2">
      <c r="A56" s="15"/>
      <c r="J56" s="113"/>
    </row>
    <row r="57" spans="1:10" x14ac:dyDescent="0.2">
      <c r="A57" s="15"/>
      <c r="J57" s="113"/>
    </row>
    <row r="58" spans="1:10" x14ac:dyDescent="0.2">
      <c r="A58" s="15"/>
      <c r="J58" s="113"/>
    </row>
    <row r="59" spans="1:10" x14ac:dyDescent="0.2">
      <c r="A59" s="15"/>
      <c r="J59" s="113"/>
    </row>
    <row r="60" spans="1:10" x14ac:dyDescent="0.2">
      <c r="A60" s="15"/>
      <c r="J60" s="113"/>
    </row>
    <row r="61" spans="1:10" x14ac:dyDescent="0.2">
      <c r="A61" s="15"/>
      <c r="J61" s="113"/>
    </row>
    <row r="62" spans="1:10" x14ac:dyDescent="0.2">
      <c r="A62" s="15"/>
      <c r="J62" s="113"/>
    </row>
    <row r="63" spans="1:10" x14ac:dyDescent="0.2">
      <c r="A63" s="15"/>
      <c r="J63" s="113"/>
    </row>
    <row r="64" spans="1:10" x14ac:dyDescent="0.2">
      <c r="A64" s="15"/>
      <c r="J64" s="113"/>
    </row>
    <row r="65" spans="1:10" x14ac:dyDescent="0.2">
      <c r="A65" s="15"/>
      <c r="J65" s="113"/>
    </row>
    <row r="66" spans="1:10" x14ac:dyDescent="0.2">
      <c r="A66" s="15"/>
      <c r="J66" s="113"/>
    </row>
    <row r="67" spans="1:10" x14ac:dyDescent="0.2">
      <c r="A67" s="15"/>
      <c r="J67" s="113"/>
    </row>
    <row r="68" spans="1:10" x14ac:dyDescent="0.2">
      <c r="A68" s="15"/>
      <c r="J68" s="113"/>
    </row>
    <row r="69" spans="1:10" x14ac:dyDescent="0.2">
      <c r="A69" s="15"/>
      <c r="J69" s="113"/>
    </row>
    <row r="70" spans="1:10" x14ac:dyDescent="0.2">
      <c r="A70" s="15"/>
      <c r="J70" s="113"/>
    </row>
    <row r="71" spans="1:10" x14ac:dyDescent="0.2">
      <c r="A71" s="15"/>
      <c r="J71" s="113"/>
    </row>
    <row r="72" spans="1:10" x14ac:dyDescent="0.2">
      <c r="A72" s="15"/>
      <c r="J72" s="113"/>
    </row>
    <row r="73" spans="1:10" x14ac:dyDescent="0.2">
      <c r="A73" s="15"/>
      <c r="J73" s="113"/>
    </row>
    <row r="74" spans="1:10" x14ac:dyDescent="0.2">
      <c r="A74" s="15"/>
      <c r="J74" s="113"/>
    </row>
    <row r="75" spans="1:10" x14ac:dyDescent="0.2">
      <c r="A75" s="15"/>
      <c r="J75" s="113"/>
    </row>
    <row r="76" spans="1:10" x14ac:dyDescent="0.2">
      <c r="A76" s="15"/>
      <c r="J76" s="113"/>
    </row>
    <row r="77" spans="1:10" x14ac:dyDescent="0.2">
      <c r="A77" s="15"/>
      <c r="J77" s="113"/>
    </row>
    <row r="78" spans="1:10" x14ac:dyDescent="0.2">
      <c r="A78" s="15"/>
      <c r="J78" s="113"/>
    </row>
    <row r="79" spans="1:10" x14ac:dyDescent="0.2">
      <c r="A79" s="15"/>
      <c r="J79" s="113"/>
    </row>
    <row r="80" spans="1:10" x14ac:dyDescent="0.2">
      <c r="A80" s="15"/>
      <c r="J80" s="113"/>
    </row>
    <row r="81" spans="1:10" x14ac:dyDescent="0.2">
      <c r="A81" s="15"/>
      <c r="J81" s="113"/>
    </row>
    <row r="82" spans="1:10" x14ac:dyDescent="0.2">
      <c r="A82" s="15"/>
      <c r="J82" s="113"/>
    </row>
    <row r="83" spans="1:10" x14ac:dyDescent="0.2">
      <c r="A83" s="15"/>
      <c r="J83" s="113"/>
    </row>
    <row r="84" spans="1:10" x14ac:dyDescent="0.2">
      <c r="A84" s="15"/>
      <c r="J84" s="113"/>
    </row>
    <row r="85" spans="1:10" x14ac:dyDescent="0.2">
      <c r="A85" s="15"/>
      <c r="J85" s="113"/>
    </row>
    <row r="86" spans="1:10" x14ac:dyDescent="0.2">
      <c r="A86" s="15"/>
      <c r="J86" s="113"/>
    </row>
    <row r="87" spans="1:10" x14ac:dyDescent="0.2">
      <c r="A87" s="15"/>
      <c r="J87" s="113"/>
    </row>
    <row r="88" spans="1:10" x14ac:dyDescent="0.2">
      <c r="A88" s="15"/>
      <c r="J88" s="113"/>
    </row>
    <row r="89" spans="1:10" x14ac:dyDescent="0.2">
      <c r="A89" s="15"/>
      <c r="J89" s="113"/>
    </row>
    <row r="90" spans="1:10" x14ac:dyDescent="0.2">
      <c r="A90" s="15"/>
      <c r="J90" s="113"/>
    </row>
    <row r="91" spans="1:10" x14ac:dyDescent="0.2">
      <c r="A91" s="15"/>
      <c r="J91" s="113"/>
    </row>
    <row r="92" spans="1:10" x14ac:dyDescent="0.2">
      <c r="A92" s="15"/>
      <c r="J92" s="113"/>
    </row>
    <row r="93" spans="1:10" x14ac:dyDescent="0.2">
      <c r="A93" s="15"/>
      <c r="J93" s="113"/>
    </row>
    <row r="94" spans="1:10" x14ac:dyDescent="0.2">
      <c r="A94" s="15"/>
      <c r="J94" s="113"/>
    </row>
    <row r="95" spans="1:10" x14ac:dyDescent="0.2">
      <c r="A95" s="15"/>
      <c r="J95" s="113"/>
    </row>
    <row r="96" spans="1:10" x14ac:dyDescent="0.2">
      <c r="A96" s="15"/>
      <c r="J96" s="113"/>
    </row>
    <row r="97" spans="1:10" x14ac:dyDescent="0.2">
      <c r="A97" s="15"/>
      <c r="J97" s="113"/>
    </row>
    <row r="98" spans="1:10" x14ac:dyDescent="0.2">
      <c r="A98" s="15"/>
      <c r="J98" s="113"/>
    </row>
    <row r="99" spans="1:10" x14ac:dyDescent="0.2">
      <c r="A99" s="15"/>
      <c r="J99" s="113"/>
    </row>
    <row r="100" spans="1:10" x14ac:dyDescent="0.2">
      <c r="A100" s="15"/>
      <c r="J100" s="113"/>
    </row>
    <row r="101" spans="1:10" x14ac:dyDescent="0.2">
      <c r="A101" s="15"/>
      <c r="J101" s="113"/>
    </row>
    <row r="102" spans="1:10" x14ac:dyDescent="0.2">
      <c r="A102" s="15"/>
      <c r="J102" s="113"/>
    </row>
    <row r="103" spans="1:10" x14ac:dyDescent="0.2">
      <c r="A103" s="15"/>
      <c r="J103" s="113"/>
    </row>
    <row r="104" spans="1:10" x14ac:dyDescent="0.2">
      <c r="A104" s="15"/>
      <c r="J104" s="113"/>
    </row>
    <row r="105" spans="1:10" x14ac:dyDescent="0.2">
      <c r="A105" s="15"/>
      <c r="J105" s="113"/>
    </row>
    <row r="106" spans="1:10" x14ac:dyDescent="0.2">
      <c r="A106" s="15"/>
      <c r="J106" s="113"/>
    </row>
    <row r="107" spans="1:10" x14ac:dyDescent="0.2">
      <c r="A107" s="15"/>
      <c r="J107" s="113"/>
    </row>
    <row r="108" spans="1:10" x14ac:dyDescent="0.2">
      <c r="A108" s="15"/>
      <c r="J108" s="113"/>
    </row>
    <row r="109" spans="1:10" x14ac:dyDescent="0.2">
      <c r="A109" s="15"/>
      <c r="J109" s="113"/>
    </row>
    <row r="110" spans="1:10" x14ac:dyDescent="0.2">
      <c r="A110" s="15"/>
      <c r="J110" s="113"/>
    </row>
    <row r="111" spans="1:10" x14ac:dyDescent="0.2">
      <c r="A111" s="15"/>
      <c r="J111" s="113"/>
    </row>
    <row r="112" spans="1:10" x14ac:dyDescent="0.2">
      <c r="A112" s="15"/>
      <c r="J112" s="113"/>
    </row>
    <row r="113" spans="1:10" x14ac:dyDescent="0.2">
      <c r="A113" s="15"/>
      <c r="J113" s="113"/>
    </row>
    <row r="114" spans="1:10" x14ac:dyDescent="0.2">
      <c r="A114" s="15"/>
      <c r="J114" s="113"/>
    </row>
    <row r="115" spans="1:10" x14ac:dyDescent="0.2">
      <c r="A115" s="15"/>
      <c r="J115" s="113"/>
    </row>
    <row r="116" spans="1:10" x14ac:dyDescent="0.2">
      <c r="A116" s="15"/>
      <c r="J116" s="113"/>
    </row>
    <row r="117" spans="1:10" x14ac:dyDescent="0.2">
      <c r="A117" s="15"/>
      <c r="J117" s="113"/>
    </row>
    <row r="118" spans="1:10" x14ac:dyDescent="0.2">
      <c r="A118" s="15"/>
      <c r="J118" s="113"/>
    </row>
    <row r="119" spans="1:10" x14ac:dyDescent="0.2">
      <c r="A119" s="15"/>
      <c r="J119" s="113"/>
    </row>
    <row r="120" spans="1:10" x14ac:dyDescent="0.2">
      <c r="A120" s="15"/>
      <c r="J120" s="113"/>
    </row>
    <row r="121" spans="1:10" x14ac:dyDescent="0.2">
      <c r="A121" s="15"/>
      <c r="J121" s="113"/>
    </row>
    <row r="122" spans="1:10" x14ac:dyDescent="0.2">
      <c r="A122" s="15"/>
      <c r="J122" s="113"/>
    </row>
    <row r="123" spans="1:10" x14ac:dyDescent="0.2">
      <c r="A123" s="15"/>
      <c r="J123" s="113"/>
    </row>
    <row r="124" spans="1:10" x14ac:dyDescent="0.2">
      <c r="A124" s="15"/>
      <c r="J124" s="113"/>
    </row>
    <row r="125" spans="1:10" x14ac:dyDescent="0.2">
      <c r="A125" s="15"/>
      <c r="J125" s="113"/>
    </row>
    <row r="126" spans="1:10" x14ac:dyDescent="0.2">
      <c r="A126" s="15"/>
      <c r="J126" s="113"/>
    </row>
    <row r="127" spans="1:10" x14ac:dyDescent="0.2">
      <c r="A127" s="15"/>
      <c r="J127" s="113"/>
    </row>
    <row r="128" spans="1:10" x14ac:dyDescent="0.2">
      <c r="A128" s="15"/>
      <c r="J128" s="113"/>
    </row>
    <row r="129" spans="1:10" x14ac:dyDescent="0.2">
      <c r="A129" s="15"/>
      <c r="J129" s="113"/>
    </row>
    <row r="130" spans="1:10" x14ac:dyDescent="0.2">
      <c r="A130" s="15"/>
      <c r="J130" s="113"/>
    </row>
    <row r="131" spans="1:10" x14ac:dyDescent="0.2">
      <c r="A131" s="15"/>
      <c r="J131" s="113"/>
    </row>
    <row r="132" spans="1:10" x14ac:dyDescent="0.2">
      <c r="A132" s="15"/>
      <c r="J132" s="113"/>
    </row>
    <row r="133" spans="1:10" x14ac:dyDescent="0.2">
      <c r="A133" s="15"/>
      <c r="J133" s="113"/>
    </row>
    <row r="134" spans="1:10" x14ac:dyDescent="0.2">
      <c r="A134" s="15"/>
      <c r="J134" s="113"/>
    </row>
    <row r="135" spans="1:10" x14ac:dyDescent="0.2">
      <c r="A135" s="15"/>
      <c r="J135" s="113"/>
    </row>
    <row r="136" spans="1:10" x14ac:dyDescent="0.2">
      <c r="A136" s="15"/>
      <c r="J136" s="113"/>
    </row>
    <row r="137" spans="1:10" x14ac:dyDescent="0.2">
      <c r="A137" s="15"/>
      <c r="J137" s="113"/>
    </row>
    <row r="138" spans="1:10" x14ac:dyDescent="0.2">
      <c r="A138" s="15"/>
      <c r="J138" s="113"/>
    </row>
    <row r="139" spans="1:10" x14ac:dyDescent="0.2">
      <c r="A139" s="15"/>
      <c r="J139" s="113"/>
    </row>
    <row r="140" spans="1:10" x14ac:dyDescent="0.2">
      <c r="A140" s="15"/>
      <c r="J140" s="113"/>
    </row>
    <row r="141" spans="1:10" x14ac:dyDescent="0.2">
      <c r="A141" s="15"/>
      <c r="J141" s="113"/>
    </row>
    <row r="142" spans="1:10" x14ac:dyDescent="0.2">
      <c r="A142" s="15"/>
      <c r="J142" s="113"/>
    </row>
    <row r="143" spans="1:10" x14ac:dyDescent="0.2">
      <c r="A143" s="15"/>
      <c r="J143" s="113"/>
    </row>
    <row r="144" spans="1:10" x14ac:dyDescent="0.2">
      <c r="A144" s="15"/>
      <c r="J144" s="113"/>
    </row>
    <row r="145" spans="1:10" x14ac:dyDescent="0.2">
      <c r="A145" s="15"/>
      <c r="J145" s="113"/>
    </row>
    <row r="146" spans="1:10" x14ac:dyDescent="0.2">
      <c r="A146" s="15"/>
      <c r="J146" s="113"/>
    </row>
    <row r="147" spans="1:10" x14ac:dyDescent="0.2">
      <c r="A147" s="15"/>
      <c r="J147" s="113"/>
    </row>
    <row r="148" spans="1:10" x14ac:dyDescent="0.2">
      <c r="A148" s="15"/>
      <c r="J148" s="113"/>
    </row>
    <row r="149" spans="1:10" x14ac:dyDescent="0.2">
      <c r="A149" s="15"/>
      <c r="J149" s="113"/>
    </row>
    <row r="150" spans="1:10" x14ac:dyDescent="0.2">
      <c r="A150" s="15"/>
      <c r="J150" s="113"/>
    </row>
    <row r="151" spans="1:10" x14ac:dyDescent="0.2">
      <c r="A151" s="15"/>
      <c r="J151" s="113"/>
    </row>
    <row r="152" spans="1:10" x14ac:dyDescent="0.2">
      <c r="A152" s="15"/>
      <c r="J152" s="113"/>
    </row>
    <row r="153" spans="1:10" x14ac:dyDescent="0.2">
      <c r="A153" s="15"/>
      <c r="J153" s="113"/>
    </row>
    <row r="154" spans="1:10" x14ac:dyDescent="0.2">
      <c r="A154" s="15"/>
      <c r="J154" s="113"/>
    </row>
    <row r="155" spans="1:10" x14ac:dyDescent="0.2">
      <c r="A155" s="15"/>
      <c r="J155" s="113"/>
    </row>
    <row r="156" spans="1:10" x14ac:dyDescent="0.2">
      <c r="A156" s="15"/>
      <c r="J156" s="113"/>
    </row>
    <row r="157" spans="1:10" x14ac:dyDescent="0.2">
      <c r="A157" s="15"/>
      <c r="J157" s="113"/>
    </row>
    <row r="158" spans="1:10" x14ac:dyDescent="0.2">
      <c r="A158" s="15"/>
      <c r="J158" s="113"/>
    </row>
    <row r="159" spans="1:10" x14ac:dyDescent="0.2">
      <c r="A159" s="15"/>
      <c r="J159" s="113"/>
    </row>
    <row r="160" spans="1:10" x14ac:dyDescent="0.2">
      <c r="A160" s="15"/>
      <c r="J160" s="113"/>
    </row>
    <row r="161" spans="1:10" x14ac:dyDescent="0.2">
      <c r="A161" s="15"/>
      <c r="J161" s="113"/>
    </row>
    <row r="162" spans="1:10" x14ac:dyDescent="0.2">
      <c r="A162" s="15"/>
      <c r="J162" s="113"/>
    </row>
    <row r="163" spans="1:10" x14ac:dyDescent="0.2">
      <c r="A163" s="15"/>
      <c r="J163" s="113"/>
    </row>
    <row r="164" spans="1:10" x14ac:dyDescent="0.2">
      <c r="A164" s="15"/>
      <c r="J164" s="113"/>
    </row>
    <row r="165" spans="1:10" x14ac:dyDescent="0.2">
      <c r="A165" s="15"/>
      <c r="J165" s="113"/>
    </row>
    <row r="166" spans="1:10" x14ac:dyDescent="0.2">
      <c r="A166" s="15"/>
      <c r="J166" s="113"/>
    </row>
    <row r="167" spans="1:10" x14ac:dyDescent="0.2">
      <c r="A167" s="15"/>
      <c r="J167" s="113"/>
    </row>
    <row r="168" spans="1:10" x14ac:dyDescent="0.2">
      <c r="J168" s="113"/>
    </row>
    <row r="169" spans="1:10" x14ac:dyDescent="0.2">
      <c r="J169" s="113"/>
    </row>
    <row r="170" spans="1:10" x14ac:dyDescent="0.2">
      <c r="J170" s="113"/>
    </row>
    <row r="171" spans="1:10" x14ac:dyDescent="0.2">
      <c r="J171" s="113"/>
    </row>
    <row r="172" spans="1:10" x14ac:dyDescent="0.2">
      <c r="J172" s="113"/>
    </row>
    <row r="173" spans="1:10" x14ac:dyDescent="0.2">
      <c r="J173" s="113"/>
    </row>
    <row r="174" spans="1:10" x14ac:dyDescent="0.2">
      <c r="J174" s="113"/>
    </row>
    <row r="175" spans="1:10" x14ac:dyDescent="0.2">
      <c r="J175" s="113"/>
    </row>
    <row r="176" spans="1:10" x14ac:dyDescent="0.2">
      <c r="J176" s="113"/>
    </row>
    <row r="177" spans="10:10" x14ac:dyDescent="0.2">
      <c r="J177" s="113"/>
    </row>
    <row r="178" spans="10:10" x14ac:dyDescent="0.2">
      <c r="J178" s="113"/>
    </row>
    <row r="179" spans="10:10" x14ac:dyDescent="0.2">
      <c r="J179" s="113"/>
    </row>
    <row r="180" spans="10:10" x14ac:dyDescent="0.2">
      <c r="J180" s="113"/>
    </row>
    <row r="181" spans="10:10" x14ac:dyDescent="0.2">
      <c r="J181" s="113"/>
    </row>
    <row r="182" spans="10:10" x14ac:dyDescent="0.2">
      <c r="J182" s="113"/>
    </row>
    <row r="183" spans="10:10" x14ac:dyDescent="0.2">
      <c r="J183" s="113"/>
    </row>
    <row r="184" spans="10:10" x14ac:dyDescent="0.2">
      <c r="J184" s="113"/>
    </row>
    <row r="185" spans="10:10" x14ac:dyDescent="0.2">
      <c r="J185" s="113"/>
    </row>
    <row r="186" spans="10:10" x14ac:dyDescent="0.2">
      <c r="J186" s="113"/>
    </row>
    <row r="187" spans="10:10" x14ac:dyDescent="0.2">
      <c r="J187" s="113"/>
    </row>
    <row r="188" spans="10:10" x14ac:dyDescent="0.2">
      <c r="J188" s="113"/>
    </row>
    <row r="189" spans="10:10" x14ac:dyDescent="0.2">
      <c r="J189" s="113"/>
    </row>
    <row r="190" spans="10:10" x14ac:dyDescent="0.2">
      <c r="J190" s="113"/>
    </row>
    <row r="191" spans="10:10" x14ac:dyDescent="0.2">
      <c r="J191" s="113"/>
    </row>
    <row r="192" spans="10:10" x14ac:dyDescent="0.2">
      <c r="J192" s="113"/>
    </row>
    <row r="193" spans="10:10" x14ac:dyDescent="0.2">
      <c r="J193" s="113"/>
    </row>
    <row r="194" spans="10:10" x14ac:dyDescent="0.2">
      <c r="J194" s="113"/>
    </row>
    <row r="195" spans="10:10" x14ac:dyDescent="0.2">
      <c r="J195" s="113"/>
    </row>
    <row r="196" spans="10:10" x14ac:dyDescent="0.2">
      <c r="J196" s="113"/>
    </row>
    <row r="197" spans="10:10" x14ac:dyDescent="0.2">
      <c r="J197" s="113"/>
    </row>
    <row r="198" spans="10:10" x14ac:dyDescent="0.2">
      <c r="J198" s="113"/>
    </row>
    <row r="199" spans="10:10" x14ac:dyDescent="0.2">
      <c r="J199" s="113"/>
    </row>
    <row r="200" spans="10:10" x14ac:dyDescent="0.2">
      <c r="J200" s="113"/>
    </row>
    <row r="201" spans="10:10" x14ac:dyDescent="0.2">
      <c r="J201" s="113"/>
    </row>
    <row r="202" spans="10:10" x14ac:dyDescent="0.2">
      <c r="J202" s="113"/>
    </row>
    <row r="203" spans="10:10" x14ac:dyDescent="0.2">
      <c r="J203" s="113"/>
    </row>
    <row r="204" spans="10:10" x14ac:dyDescent="0.2">
      <c r="J204" s="113"/>
    </row>
    <row r="205" spans="10:10" x14ac:dyDescent="0.2">
      <c r="J205" s="113"/>
    </row>
    <row r="206" spans="10:10" x14ac:dyDescent="0.2">
      <c r="J206" s="113"/>
    </row>
    <row r="207" spans="10:10" x14ac:dyDescent="0.2">
      <c r="J207" s="113"/>
    </row>
    <row r="208" spans="10:10" x14ac:dyDescent="0.2">
      <c r="J208" s="113"/>
    </row>
    <row r="209" spans="10:10" x14ac:dyDescent="0.2">
      <c r="J209" s="113"/>
    </row>
    <row r="210" spans="10:10" x14ac:dyDescent="0.2">
      <c r="J210" s="113"/>
    </row>
    <row r="211" spans="10:10" x14ac:dyDescent="0.2">
      <c r="J211" s="113"/>
    </row>
    <row r="212" spans="10:10" x14ac:dyDescent="0.2">
      <c r="J212" s="113"/>
    </row>
    <row r="213" spans="10:10" x14ac:dyDescent="0.2">
      <c r="J213" s="113"/>
    </row>
    <row r="214" spans="10:10" x14ac:dyDescent="0.2">
      <c r="J214" s="113"/>
    </row>
    <row r="215" spans="10:10" x14ac:dyDescent="0.2">
      <c r="J215" s="113"/>
    </row>
    <row r="216" spans="10:10" x14ac:dyDescent="0.2">
      <c r="J216" s="113"/>
    </row>
    <row r="217" spans="10:10" x14ac:dyDescent="0.2">
      <c r="J217" s="113"/>
    </row>
    <row r="218" spans="10:10" x14ac:dyDescent="0.2">
      <c r="J218" s="113"/>
    </row>
    <row r="219" spans="10:10" x14ac:dyDescent="0.2">
      <c r="J219" s="113"/>
    </row>
    <row r="220" spans="10:10" x14ac:dyDescent="0.2">
      <c r="J220" s="113"/>
    </row>
    <row r="221" spans="10:10" x14ac:dyDescent="0.2">
      <c r="J221" s="113"/>
    </row>
    <row r="222" spans="10:10" x14ac:dyDescent="0.2">
      <c r="J222" s="113"/>
    </row>
    <row r="223" spans="10:10" x14ac:dyDescent="0.2">
      <c r="J223" s="113"/>
    </row>
    <row r="224" spans="10:10" x14ac:dyDescent="0.2">
      <c r="J224" s="113"/>
    </row>
    <row r="225" spans="10:10" x14ac:dyDescent="0.2">
      <c r="J225" s="113"/>
    </row>
    <row r="226" spans="10:10" x14ac:dyDescent="0.2">
      <c r="J226" s="113"/>
    </row>
    <row r="227" spans="10:10" x14ac:dyDescent="0.2">
      <c r="J227" s="113"/>
    </row>
    <row r="228" spans="10:10" x14ac:dyDescent="0.2">
      <c r="J228" s="113"/>
    </row>
    <row r="229" spans="10:10" x14ac:dyDescent="0.2">
      <c r="J229" s="113"/>
    </row>
    <row r="230" spans="10:10" x14ac:dyDescent="0.2">
      <c r="J230" s="113"/>
    </row>
    <row r="231" spans="10:10" x14ac:dyDescent="0.2">
      <c r="J231" s="113"/>
    </row>
    <row r="232" spans="10:10" x14ac:dyDescent="0.2">
      <c r="J232" s="113"/>
    </row>
    <row r="233" spans="10:10" x14ac:dyDescent="0.2">
      <c r="J233" s="113"/>
    </row>
    <row r="234" spans="10:10" x14ac:dyDescent="0.2">
      <c r="J234" s="113"/>
    </row>
    <row r="235" spans="10:10" x14ac:dyDescent="0.2">
      <c r="J235" s="113"/>
    </row>
    <row r="236" spans="10:10" x14ac:dyDescent="0.2">
      <c r="J236" s="113"/>
    </row>
    <row r="237" spans="10:10" x14ac:dyDescent="0.2">
      <c r="J237" s="113"/>
    </row>
    <row r="238" spans="10:10" x14ac:dyDescent="0.2">
      <c r="J238" s="113"/>
    </row>
    <row r="239" spans="10:10" x14ac:dyDescent="0.2">
      <c r="J239" s="113"/>
    </row>
    <row r="240" spans="10:10" x14ac:dyDescent="0.2">
      <c r="J240" s="113"/>
    </row>
    <row r="241" spans="10:10" x14ac:dyDescent="0.2">
      <c r="J241" s="113"/>
    </row>
    <row r="242" spans="10:10" x14ac:dyDescent="0.2">
      <c r="J242" s="113"/>
    </row>
    <row r="243" spans="10:10" x14ac:dyDescent="0.2">
      <c r="J243" s="113"/>
    </row>
    <row r="244" spans="10:10" x14ac:dyDescent="0.2">
      <c r="J244" s="113"/>
    </row>
    <row r="245" spans="10:10" x14ac:dyDescent="0.2">
      <c r="J245" s="113"/>
    </row>
    <row r="246" spans="10:10" x14ac:dyDescent="0.2">
      <c r="J246" s="113"/>
    </row>
    <row r="247" spans="10:10" x14ac:dyDescent="0.2">
      <c r="J247" s="113"/>
    </row>
    <row r="248" spans="10:10" x14ac:dyDescent="0.2">
      <c r="J248" s="113"/>
    </row>
    <row r="249" spans="10:10" x14ac:dyDescent="0.2">
      <c r="J249" s="113"/>
    </row>
    <row r="250" spans="10:10" x14ac:dyDescent="0.2">
      <c r="J250" s="113"/>
    </row>
    <row r="251" spans="10:10" x14ac:dyDescent="0.2">
      <c r="J251" s="113"/>
    </row>
    <row r="252" spans="10:10" x14ac:dyDescent="0.2">
      <c r="J252" s="113"/>
    </row>
    <row r="253" spans="10:10" x14ac:dyDescent="0.2">
      <c r="J253" s="113"/>
    </row>
    <row r="254" spans="10:10" x14ac:dyDescent="0.2">
      <c r="J254" s="113"/>
    </row>
    <row r="255" spans="10:10" x14ac:dyDescent="0.2">
      <c r="J255" s="113"/>
    </row>
    <row r="256" spans="10:10" x14ac:dyDescent="0.2">
      <c r="J256" s="113"/>
    </row>
    <row r="257" spans="10:10" x14ac:dyDescent="0.2">
      <c r="J257" s="113"/>
    </row>
    <row r="258" spans="10:10" x14ac:dyDescent="0.2">
      <c r="J258" s="113"/>
    </row>
    <row r="259" spans="10:10" x14ac:dyDescent="0.2">
      <c r="J259" s="113"/>
    </row>
    <row r="260" spans="10:10" x14ac:dyDescent="0.2">
      <c r="J260" s="113"/>
    </row>
    <row r="261" spans="10:10" x14ac:dyDescent="0.2">
      <c r="J261" s="113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00E5-E871-4C03-A9F6-29C46A692CAD}">
  <sheetPr codeName="Sheet13">
    <tabColor rgb="FFB58629"/>
  </sheetPr>
  <dimension ref="A1:J260"/>
  <sheetViews>
    <sheetView zoomScale="120" zoomScaleNormal="120" zoomScaleSheetLayoutView="100" workbookViewId="0">
      <selection activeCell="G36" sqref="G36"/>
    </sheetView>
  </sheetViews>
  <sheetFormatPr defaultRowHeight="12.75" x14ac:dyDescent="0.2"/>
  <cols>
    <col min="1" max="1" width="14.5703125" style="138" bestFit="1" customWidth="1"/>
    <col min="2" max="2" width="11.28515625" style="138" customWidth="1"/>
    <col min="3" max="4" width="11.28515625" style="1" customWidth="1"/>
    <col min="5" max="5" width="20.140625" bestFit="1" customWidth="1"/>
    <col min="10" max="10" width="9.140625" style="114"/>
  </cols>
  <sheetData>
    <row r="1" spans="1:10" s="15" customFormat="1" x14ac:dyDescent="0.2">
      <c r="A1" s="136" t="s">
        <v>64</v>
      </c>
      <c r="B1" s="136" t="s">
        <v>16</v>
      </c>
      <c r="J1" s="112"/>
    </row>
    <row r="2" spans="1:10" x14ac:dyDescent="0.2">
      <c r="A2" s="137" t="str">
        <f>IF('Air Handler &amp; Pedestal Labels'!C2=0, " ",'Air Handler &amp; Pedestal Labels'!C2)</f>
        <v xml:space="preserve"> </v>
      </c>
      <c r="B2" s="136" t="str">
        <f>IF(A2&lt;&gt;" ",3," ")</f>
        <v xml:space="preserve"> </v>
      </c>
      <c r="C2"/>
      <c r="D2"/>
      <c r="J2" s="113"/>
    </row>
    <row r="3" spans="1:10" x14ac:dyDescent="0.2">
      <c r="A3" s="137" t="str">
        <f>IF('Air Handler &amp; Pedestal Labels'!C3=0, " ",'Air Handler &amp; Pedestal Labels'!C3)</f>
        <v xml:space="preserve"> </v>
      </c>
      <c r="B3" s="136" t="str">
        <f t="shared" ref="B3:B18" si="0">IF(A3&lt;&gt;" ",3," ")</f>
        <v xml:space="preserve"> </v>
      </c>
      <c r="C3"/>
      <c r="D3"/>
      <c r="J3" s="113"/>
    </row>
    <row r="4" spans="1:10" x14ac:dyDescent="0.2">
      <c r="A4" s="137" t="str">
        <f>IF('Air Handler &amp; Pedestal Labels'!C4=0, " ",'Air Handler &amp; Pedestal Labels'!C4)</f>
        <v xml:space="preserve"> </v>
      </c>
      <c r="B4" s="136" t="str">
        <f t="shared" si="0"/>
        <v xml:space="preserve"> </v>
      </c>
      <c r="C4"/>
      <c r="D4" s="83"/>
      <c r="J4" s="113"/>
    </row>
    <row r="5" spans="1:10" x14ac:dyDescent="0.2">
      <c r="A5" s="137" t="str">
        <f>IF('Air Handler &amp; Pedestal Labels'!C5=0, " ",'Air Handler &amp; Pedestal Labels'!C5)</f>
        <v xml:space="preserve"> </v>
      </c>
      <c r="B5" s="136" t="str">
        <f t="shared" si="0"/>
        <v xml:space="preserve"> </v>
      </c>
      <c r="C5"/>
      <c r="D5"/>
      <c r="J5" s="113"/>
    </row>
    <row r="6" spans="1:10" x14ac:dyDescent="0.2">
      <c r="A6" s="137" t="str">
        <f>IF('Air Handler &amp; Pedestal Labels'!C6=0, " ",'Air Handler &amp; Pedestal Labels'!C6)</f>
        <v xml:space="preserve"> </v>
      </c>
      <c r="B6" s="136" t="str">
        <f t="shared" si="0"/>
        <v xml:space="preserve"> </v>
      </c>
      <c r="C6"/>
      <c r="D6"/>
      <c r="J6" s="113"/>
    </row>
    <row r="7" spans="1:10" x14ac:dyDescent="0.2">
      <c r="A7" s="137" t="str">
        <f>IF('Air Handler &amp; Pedestal Labels'!C7=0, " ",'Air Handler &amp; Pedestal Labels'!C7)</f>
        <v xml:space="preserve"> </v>
      </c>
      <c r="B7" s="136" t="str">
        <f t="shared" si="0"/>
        <v xml:space="preserve"> </v>
      </c>
      <c r="C7"/>
      <c r="D7"/>
      <c r="J7" s="113"/>
    </row>
    <row r="8" spans="1:10" x14ac:dyDescent="0.2">
      <c r="A8" s="137" t="str">
        <f>IF('Air Handler &amp; Pedestal Labels'!C8=0, " ",'Air Handler &amp; Pedestal Labels'!C8)</f>
        <v xml:space="preserve"> </v>
      </c>
      <c r="B8" s="136" t="str">
        <f t="shared" si="0"/>
        <v xml:space="preserve"> </v>
      </c>
      <c r="C8"/>
      <c r="D8"/>
      <c r="J8" s="113"/>
    </row>
    <row r="9" spans="1:10" x14ac:dyDescent="0.2">
      <c r="A9" s="137" t="str">
        <f>IF('Air Handler &amp; Pedestal Labels'!C9=0, " ",'Air Handler &amp; Pedestal Labels'!C9)</f>
        <v xml:space="preserve"> </v>
      </c>
      <c r="B9" s="136" t="str">
        <f t="shared" si="0"/>
        <v xml:space="preserve"> </v>
      </c>
      <c r="J9" s="113"/>
    </row>
    <row r="10" spans="1:10" x14ac:dyDescent="0.2">
      <c r="A10" s="137" t="str">
        <f>IF('Air Handler &amp; Pedestal Labels'!C10=0, " ",'Air Handler &amp; Pedestal Labels'!C10)</f>
        <v xml:space="preserve"> </v>
      </c>
      <c r="B10" s="136" t="str">
        <f t="shared" si="0"/>
        <v xml:space="preserve"> </v>
      </c>
      <c r="J10" s="113"/>
    </row>
    <row r="11" spans="1:10" x14ac:dyDescent="0.2">
      <c r="A11" s="137" t="str">
        <f>IF('Air Handler &amp; Pedestal Labels'!C11=0, " ",'Air Handler &amp; Pedestal Labels'!C11)</f>
        <v xml:space="preserve"> </v>
      </c>
      <c r="B11" s="136" t="str">
        <f t="shared" si="0"/>
        <v xml:space="preserve"> </v>
      </c>
      <c r="J11" s="113"/>
    </row>
    <row r="12" spans="1:10" x14ac:dyDescent="0.2">
      <c r="A12" s="137" t="str">
        <f>IF('Air Handler &amp; Pedestal Labels'!C12=0, " ",'Air Handler &amp; Pedestal Labels'!C12)</f>
        <v xml:space="preserve"> </v>
      </c>
      <c r="B12" s="136" t="str">
        <f t="shared" si="0"/>
        <v xml:space="preserve"> </v>
      </c>
      <c r="J12" s="113"/>
    </row>
    <row r="13" spans="1:10" x14ac:dyDescent="0.2">
      <c r="A13" s="137" t="str">
        <f>IF('Air Handler &amp; Pedestal Labels'!C13=0, " ",'Air Handler &amp; Pedestal Labels'!C13)</f>
        <v xml:space="preserve"> </v>
      </c>
      <c r="B13" s="136" t="str">
        <f t="shared" si="0"/>
        <v xml:space="preserve"> </v>
      </c>
      <c r="J13" s="113"/>
    </row>
    <row r="14" spans="1:10" x14ac:dyDescent="0.2">
      <c r="A14" s="137" t="str">
        <f>IF('Air Handler &amp; Pedestal Labels'!C14=0, " ",'Air Handler &amp; Pedestal Labels'!C14)</f>
        <v xml:space="preserve"> </v>
      </c>
      <c r="B14" s="136" t="str">
        <f t="shared" si="0"/>
        <v xml:space="preserve"> </v>
      </c>
      <c r="J14" s="113"/>
    </row>
    <row r="15" spans="1:10" x14ac:dyDescent="0.2">
      <c r="A15" s="137" t="str">
        <f>IF('Air Handler &amp; Pedestal Labels'!C15=0, " ",'Air Handler &amp; Pedestal Labels'!C15)</f>
        <v xml:space="preserve"> </v>
      </c>
      <c r="B15" s="136" t="str">
        <f t="shared" si="0"/>
        <v xml:space="preserve"> </v>
      </c>
      <c r="J15" s="113"/>
    </row>
    <row r="16" spans="1:10" x14ac:dyDescent="0.2">
      <c r="A16" s="137" t="str">
        <f>IF('Air Handler &amp; Pedestal Labels'!C16=0, " ",'Air Handler &amp; Pedestal Labels'!C16)</f>
        <v xml:space="preserve"> </v>
      </c>
      <c r="B16" s="136" t="str">
        <f t="shared" si="0"/>
        <v xml:space="preserve"> </v>
      </c>
      <c r="J16" s="113"/>
    </row>
    <row r="17" spans="1:10" x14ac:dyDescent="0.2">
      <c r="A17" s="137" t="str">
        <f>IF('Air Handler &amp; Pedestal Labels'!C17=0, " ",'Air Handler &amp; Pedestal Labels'!C17)</f>
        <v xml:space="preserve"> </v>
      </c>
      <c r="B17" s="136" t="str">
        <f t="shared" si="0"/>
        <v xml:space="preserve"> </v>
      </c>
      <c r="J17" s="113"/>
    </row>
    <row r="18" spans="1:10" x14ac:dyDescent="0.2">
      <c r="A18" s="137" t="str">
        <f>IF('Air Handler &amp; Pedestal Labels'!C18=0, " ",'Air Handler &amp; Pedestal Labels'!C18)</f>
        <v xml:space="preserve"> </v>
      </c>
      <c r="B18" s="136" t="str">
        <f t="shared" si="0"/>
        <v xml:space="preserve"> </v>
      </c>
      <c r="J18" s="113"/>
    </row>
    <row r="19" spans="1:10" x14ac:dyDescent="0.2">
      <c r="A19" s="20"/>
      <c r="B19" s="20"/>
      <c r="J19" s="113"/>
    </row>
    <row r="20" spans="1:10" x14ac:dyDescent="0.2">
      <c r="A20" s="20"/>
      <c r="B20" s="20"/>
      <c r="J20" s="113"/>
    </row>
    <row r="21" spans="1:10" x14ac:dyDescent="0.2">
      <c r="A21" s="20"/>
      <c r="B21" s="20"/>
      <c r="J21" s="113"/>
    </row>
    <row r="22" spans="1:10" x14ac:dyDescent="0.2">
      <c r="A22" s="20"/>
      <c r="B22" s="20"/>
      <c r="J22" s="113"/>
    </row>
    <row r="23" spans="1:10" x14ac:dyDescent="0.2">
      <c r="A23" s="20"/>
      <c r="B23" s="20"/>
      <c r="J23" s="113"/>
    </row>
    <row r="24" spans="1:10" x14ac:dyDescent="0.2">
      <c r="A24" s="20"/>
      <c r="B24" s="20"/>
      <c r="J24" s="113"/>
    </row>
    <row r="25" spans="1:10" x14ac:dyDescent="0.2">
      <c r="A25" s="20"/>
      <c r="B25" s="20"/>
      <c r="J25" s="113"/>
    </row>
    <row r="26" spans="1:10" x14ac:dyDescent="0.2">
      <c r="A26" s="20"/>
      <c r="B26" s="20"/>
      <c r="J26" s="113"/>
    </row>
    <row r="27" spans="1:10" x14ac:dyDescent="0.2">
      <c r="A27" s="20"/>
      <c r="B27" s="20"/>
      <c r="J27" s="113"/>
    </row>
    <row r="28" spans="1:10" x14ac:dyDescent="0.2">
      <c r="A28" s="20"/>
      <c r="B28" s="20"/>
      <c r="J28" s="113"/>
    </row>
    <row r="29" spans="1:10" x14ac:dyDescent="0.2">
      <c r="A29" s="20"/>
      <c r="B29" s="20"/>
      <c r="J29" s="113"/>
    </row>
    <row r="30" spans="1:10" x14ac:dyDescent="0.2">
      <c r="A30" s="20"/>
      <c r="B30" s="20"/>
      <c r="J30" s="113"/>
    </row>
    <row r="31" spans="1:10" x14ac:dyDescent="0.2">
      <c r="A31" s="20"/>
      <c r="B31" s="20"/>
      <c r="J31" s="113"/>
    </row>
    <row r="32" spans="1:10" x14ac:dyDescent="0.2">
      <c r="A32" s="20"/>
      <c r="B32" s="20"/>
      <c r="J32" s="113"/>
    </row>
    <row r="33" spans="1:10" x14ac:dyDescent="0.2">
      <c r="A33" s="20"/>
      <c r="B33" s="20"/>
      <c r="J33" s="113"/>
    </row>
    <row r="34" spans="1:10" x14ac:dyDescent="0.2">
      <c r="A34" s="20"/>
      <c r="J34" s="113"/>
    </row>
    <row r="35" spans="1:10" x14ac:dyDescent="0.2">
      <c r="A35" s="20"/>
      <c r="J35" s="113"/>
    </row>
    <row r="36" spans="1:10" x14ac:dyDescent="0.2">
      <c r="A36" s="20"/>
      <c r="J36" s="113"/>
    </row>
    <row r="37" spans="1:10" x14ac:dyDescent="0.2">
      <c r="A37" s="20"/>
      <c r="J37" s="113"/>
    </row>
    <row r="38" spans="1:10" x14ac:dyDescent="0.2">
      <c r="A38" s="20"/>
      <c r="J38" s="113"/>
    </row>
    <row r="39" spans="1:10" x14ac:dyDescent="0.2">
      <c r="A39" s="20"/>
      <c r="J39" s="113"/>
    </row>
    <row r="40" spans="1:10" x14ac:dyDescent="0.2">
      <c r="A40" s="20"/>
      <c r="J40" s="113"/>
    </row>
    <row r="41" spans="1:10" x14ac:dyDescent="0.2">
      <c r="A41" s="20"/>
      <c r="J41" s="113"/>
    </row>
    <row r="42" spans="1:10" x14ac:dyDescent="0.2">
      <c r="A42" s="20"/>
      <c r="J42" s="113"/>
    </row>
    <row r="43" spans="1:10" x14ac:dyDescent="0.2">
      <c r="A43" s="20"/>
      <c r="J43" s="113"/>
    </row>
    <row r="44" spans="1:10" x14ac:dyDescent="0.2">
      <c r="A44" s="20"/>
      <c r="J44" s="113"/>
    </row>
    <row r="45" spans="1:10" x14ac:dyDescent="0.2">
      <c r="A45" s="20"/>
      <c r="J45" s="113"/>
    </row>
    <row r="46" spans="1:10" x14ac:dyDescent="0.2">
      <c r="A46" s="20"/>
      <c r="J46" s="113"/>
    </row>
    <row r="47" spans="1:10" x14ac:dyDescent="0.2">
      <c r="A47" s="20"/>
      <c r="J47" s="113"/>
    </row>
    <row r="48" spans="1:10" x14ac:dyDescent="0.2">
      <c r="A48" s="20"/>
      <c r="J48" s="113"/>
    </row>
    <row r="49" spans="1:10" x14ac:dyDescent="0.2">
      <c r="A49" s="20"/>
      <c r="J49" s="113"/>
    </row>
    <row r="50" spans="1:10" x14ac:dyDescent="0.2">
      <c r="A50" s="20"/>
      <c r="J50" s="113"/>
    </row>
    <row r="51" spans="1:10" x14ac:dyDescent="0.2">
      <c r="A51" s="20"/>
      <c r="J51" s="113"/>
    </row>
    <row r="52" spans="1:10" x14ac:dyDescent="0.2">
      <c r="A52" s="20"/>
      <c r="J52" s="113"/>
    </row>
    <row r="53" spans="1:10" x14ac:dyDescent="0.2">
      <c r="A53" s="20"/>
      <c r="J53" s="113"/>
    </row>
    <row r="54" spans="1:10" x14ac:dyDescent="0.2">
      <c r="A54" s="20"/>
      <c r="J54" s="113"/>
    </row>
    <row r="55" spans="1:10" x14ac:dyDescent="0.2">
      <c r="A55" s="20"/>
      <c r="J55" s="113"/>
    </row>
    <row r="56" spans="1:10" x14ac:dyDescent="0.2">
      <c r="A56" s="20"/>
      <c r="J56" s="113"/>
    </row>
    <row r="57" spans="1:10" x14ac:dyDescent="0.2">
      <c r="A57" s="20"/>
      <c r="J57" s="113"/>
    </row>
    <row r="58" spans="1:10" x14ac:dyDescent="0.2">
      <c r="A58" s="20"/>
      <c r="J58" s="113"/>
    </row>
    <row r="59" spans="1:10" x14ac:dyDescent="0.2">
      <c r="A59" s="20"/>
      <c r="J59" s="113"/>
    </row>
    <row r="60" spans="1:10" x14ac:dyDescent="0.2">
      <c r="A60" s="20"/>
      <c r="J60" s="113"/>
    </row>
    <row r="61" spans="1:10" x14ac:dyDescent="0.2">
      <c r="A61" s="20"/>
      <c r="J61" s="113"/>
    </row>
    <row r="62" spans="1:10" x14ac:dyDescent="0.2">
      <c r="A62" s="20"/>
      <c r="J62" s="113"/>
    </row>
    <row r="63" spans="1:10" x14ac:dyDescent="0.2">
      <c r="A63" s="20"/>
      <c r="J63" s="113"/>
    </row>
    <row r="64" spans="1:10" x14ac:dyDescent="0.2">
      <c r="A64" s="20"/>
      <c r="J64" s="113"/>
    </row>
    <row r="65" spans="1:10" x14ac:dyDescent="0.2">
      <c r="A65" s="20"/>
      <c r="J65" s="113"/>
    </row>
    <row r="66" spans="1:10" x14ac:dyDescent="0.2">
      <c r="A66" s="20"/>
      <c r="J66" s="113"/>
    </row>
    <row r="67" spans="1:10" x14ac:dyDescent="0.2">
      <c r="A67" s="20"/>
      <c r="J67" s="113"/>
    </row>
    <row r="68" spans="1:10" x14ac:dyDescent="0.2">
      <c r="A68" s="20"/>
      <c r="J68" s="113"/>
    </row>
    <row r="69" spans="1:10" x14ac:dyDescent="0.2">
      <c r="A69" s="20"/>
      <c r="J69" s="113"/>
    </row>
    <row r="70" spans="1:10" x14ac:dyDescent="0.2">
      <c r="A70" s="20"/>
      <c r="J70" s="113"/>
    </row>
    <row r="71" spans="1:10" x14ac:dyDescent="0.2">
      <c r="A71" s="20"/>
      <c r="J71" s="113"/>
    </row>
    <row r="72" spans="1:10" x14ac:dyDescent="0.2">
      <c r="A72" s="20"/>
      <c r="J72" s="113"/>
    </row>
    <row r="73" spans="1:10" x14ac:dyDescent="0.2">
      <c r="A73" s="20"/>
      <c r="J73" s="113"/>
    </row>
    <row r="74" spans="1:10" x14ac:dyDescent="0.2">
      <c r="A74" s="20"/>
      <c r="J74" s="113"/>
    </row>
    <row r="75" spans="1:10" x14ac:dyDescent="0.2">
      <c r="A75" s="20"/>
      <c r="J75" s="113"/>
    </row>
    <row r="76" spans="1:10" x14ac:dyDescent="0.2">
      <c r="A76" s="20"/>
      <c r="J76" s="113"/>
    </row>
    <row r="77" spans="1:10" x14ac:dyDescent="0.2">
      <c r="A77" s="20"/>
      <c r="J77" s="113"/>
    </row>
    <row r="78" spans="1:10" x14ac:dyDescent="0.2">
      <c r="A78" s="20"/>
      <c r="J78" s="113"/>
    </row>
    <row r="79" spans="1:10" x14ac:dyDescent="0.2">
      <c r="A79" s="20"/>
      <c r="J79" s="113"/>
    </row>
    <row r="80" spans="1:10" x14ac:dyDescent="0.2">
      <c r="A80" s="20"/>
      <c r="J80" s="113"/>
    </row>
    <row r="81" spans="1:10" x14ac:dyDescent="0.2">
      <c r="A81" s="20"/>
      <c r="J81" s="113"/>
    </row>
    <row r="82" spans="1:10" x14ac:dyDescent="0.2">
      <c r="A82" s="20"/>
      <c r="J82" s="113"/>
    </row>
    <row r="83" spans="1:10" x14ac:dyDescent="0.2">
      <c r="A83" s="20"/>
      <c r="J83" s="113"/>
    </row>
    <row r="84" spans="1:10" x14ac:dyDescent="0.2">
      <c r="A84" s="20"/>
      <c r="J84" s="113"/>
    </row>
    <row r="85" spans="1:10" x14ac:dyDescent="0.2">
      <c r="A85" s="20"/>
      <c r="J85" s="113"/>
    </row>
    <row r="86" spans="1:10" x14ac:dyDescent="0.2">
      <c r="A86" s="20"/>
      <c r="J86" s="113"/>
    </row>
    <row r="87" spans="1:10" x14ac:dyDescent="0.2">
      <c r="A87" s="20"/>
      <c r="J87" s="113"/>
    </row>
    <row r="88" spans="1:10" x14ac:dyDescent="0.2">
      <c r="A88" s="20"/>
      <c r="J88" s="113"/>
    </row>
    <row r="89" spans="1:10" x14ac:dyDescent="0.2">
      <c r="A89" s="20"/>
      <c r="J89" s="113"/>
    </row>
    <row r="90" spans="1:10" x14ac:dyDescent="0.2">
      <c r="A90" s="20"/>
      <c r="J90" s="113"/>
    </row>
    <row r="91" spans="1:10" x14ac:dyDescent="0.2">
      <c r="A91" s="20"/>
      <c r="J91" s="113"/>
    </row>
    <row r="92" spans="1:10" x14ac:dyDescent="0.2">
      <c r="A92" s="20"/>
      <c r="J92" s="113"/>
    </row>
    <row r="93" spans="1:10" x14ac:dyDescent="0.2">
      <c r="A93" s="20"/>
      <c r="J93" s="113"/>
    </row>
    <row r="94" spans="1:10" x14ac:dyDescent="0.2">
      <c r="A94" s="20"/>
      <c r="J94" s="113"/>
    </row>
    <row r="95" spans="1:10" x14ac:dyDescent="0.2">
      <c r="A95" s="20"/>
      <c r="J95" s="113"/>
    </row>
    <row r="96" spans="1:10" x14ac:dyDescent="0.2">
      <c r="A96" s="20"/>
      <c r="J96" s="113"/>
    </row>
    <row r="97" spans="1:10" x14ac:dyDescent="0.2">
      <c r="A97" s="20"/>
      <c r="J97" s="113"/>
    </row>
    <row r="98" spans="1:10" x14ac:dyDescent="0.2">
      <c r="A98" s="20"/>
      <c r="J98" s="113"/>
    </row>
    <row r="99" spans="1:10" x14ac:dyDescent="0.2">
      <c r="A99" s="20"/>
      <c r="J99" s="113"/>
    </row>
    <row r="100" spans="1:10" x14ac:dyDescent="0.2">
      <c r="A100" s="20"/>
      <c r="J100" s="113"/>
    </row>
    <row r="101" spans="1:10" x14ac:dyDescent="0.2">
      <c r="A101" s="20"/>
      <c r="J101" s="113"/>
    </row>
    <row r="102" spans="1:10" x14ac:dyDescent="0.2">
      <c r="A102" s="20"/>
      <c r="J102" s="113"/>
    </row>
    <row r="103" spans="1:10" x14ac:dyDescent="0.2">
      <c r="A103" s="20"/>
      <c r="J103" s="113"/>
    </row>
    <row r="104" spans="1:10" x14ac:dyDescent="0.2">
      <c r="A104" s="20"/>
      <c r="J104" s="113"/>
    </row>
    <row r="105" spans="1:10" x14ac:dyDescent="0.2">
      <c r="A105" s="20"/>
      <c r="J105" s="113"/>
    </row>
    <row r="106" spans="1:10" x14ac:dyDescent="0.2">
      <c r="A106" s="20"/>
      <c r="J106" s="113"/>
    </row>
    <row r="107" spans="1:10" x14ac:dyDescent="0.2">
      <c r="A107" s="20"/>
      <c r="J107" s="113"/>
    </row>
    <row r="108" spans="1:10" x14ac:dyDescent="0.2">
      <c r="A108" s="20"/>
      <c r="J108" s="113"/>
    </row>
    <row r="109" spans="1:10" x14ac:dyDescent="0.2">
      <c r="A109" s="20"/>
      <c r="J109" s="113"/>
    </row>
    <row r="110" spans="1:10" x14ac:dyDescent="0.2">
      <c r="A110" s="20"/>
      <c r="J110" s="113"/>
    </row>
    <row r="111" spans="1:10" x14ac:dyDescent="0.2">
      <c r="A111" s="20"/>
      <c r="J111" s="113"/>
    </row>
    <row r="112" spans="1:10" x14ac:dyDescent="0.2">
      <c r="A112" s="20"/>
      <c r="J112" s="113"/>
    </row>
    <row r="113" spans="1:10" x14ac:dyDescent="0.2">
      <c r="A113" s="20"/>
      <c r="J113" s="113"/>
    </row>
    <row r="114" spans="1:10" x14ac:dyDescent="0.2">
      <c r="A114" s="20"/>
      <c r="J114" s="113"/>
    </row>
    <row r="115" spans="1:10" x14ac:dyDescent="0.2">
      <c r="A115" s="20"/>
      <c r="J115" s="113"/>
    </row>
    <row r="116" spans="1:10" x14ac:dyDescent="0.2">
      <c r="A116" s="20"/>
      <c r="J116" s="113"/>
    </row>
    <row r="117" spans="1:10" x14ac:dyDescent="0.2">
      <c r="A117" s="20"/>
      <c r="J117" s="113"/>
    </row>
    <row r="118" spans="1:10" x14ac:dyDescent="0.2">
      <c r="A118" s="20"/>
      <c r="J118" s="113"/>
    </row>
    <row r="119" spans="1:10" x14ac:dyDescent="0.2">
      <c r="A119" s="20"/>
      <c r="J119" s="113"/>
    </row>
    <row r="120" spans="1:10" x14ac:dyDescent="0.2">
      <c r="A120" s="20"/>
      <c r="J120" s="113"/>
    </row>
    <row r="121" spans="1:10" x14ac:dyDescent="0.2">
      <c r="A121" s="20"/>
      <c r="J121" s="113"/>
    </row>
    <row r="122" spans="1:10" x14ac:dyDescent="0.2">
      <c r="A122" s="20"/>
      <c r="J122" s="113"/>
    </row>
    <row r="123" spans="1:10" x14ac:dyDescent="0.2">
      <c r="A123" s="20"/>
      <c r="J123" s="113"/>
    </row>
    <row r="124" spans="1:10" x14ac:dyDescent="0.2">
      <c r="A124" s="20"/>
      <c r="J124" s="113"/>
    </row>
    <row r="125" spans="1:10" x14ac:dyDescent="0.2">
      <c r="A125" s="20"/>
      <c r="J125" s="113"/>
    </row>
    <row r="126" spans="1:10" x14ac:dyDescent="0.2">
      <c r="A126" s="20"/>
      <c r="J126" s="113"/>
    </row>
    <row r="127" spans="1:10" x14ac:dyDescent="0.2">
      <c r="A127" s="20"/>
      <c r="J127" s="113"/>
    </row>
    <row r="128" spans="1:10" x14ac:dyDescent="0.2">
      <c r="A128" s="20"/>
      <c r="J128" s="113"/>
    </row>
    <row r="129" spans="1:10" x14ac:dyDescent="0.2">
      <c r="A129" s="20"/>
      <c r="J129" s="113"/>
    </row>
    <row r="130" spans="1:10" x14ac:dyDescent="0.2">
      <c r="A130" s="20"/>
      <c r="J130" s="113"/>
    </row>
    <row r="131" spans="1:10" x14ac:dyDescent="0.2">
      <c r="A131" s="20"/>
      <c r="J131" s="113"/>
    </row>
    <row r="132" spans="1:10" x14ac:dyDescent="0.2">
      <c r="A132" s="20"/>
      <c r="J132" s="113"/>
    </row>
    <row r="133" spans="1:10" x14ac:dyDescent="0.2">
      <c r="A133" s="20"/>
      <c r="J133" s="113"/>
    </row>
    <row r="134" spans="1:10" x14ac:dyDescent="0.2">
      <c r="A134" s="20"/>
      <c r="J134" s="113"/>
    </row>
    <row r="135" spans="1:10" x14ac:dyDescent="0.2">
      <c r="A135" s="20"/>
      <c r="J135" s="113"/>
    </row>
    <row r="136" spans="1:10" x14ac:dyDescent="0.2">
      <c r="A136" s="20"/>
      <c r="J136" s="113"/>
    </row>
    <row r="137" spans="1:10" x14ac:dyDescent="0.2">
      <c r="A137" s="20"/>
      <c r="J137" s="113"/>
    </row>
    <row r="138" spans="1:10" x14ac:dyDescent="0.2">
      <c r="A138" s="20"/>
      <c r="J138" s="113"/>
    </row>
    <row r="139" spans="1:10" x14ac:dyDescent="0.2">
      <c r="A139" s="20"/>
      <c r="J139" s="113"/>
    </row>
    <row r="140" spans="1:10" x14ac:dyDescent="0.2">
      <c r="A140" s="20"/>
      <c r="J140" s="113"/>
    </row>
    <row r="141" spans="1:10" x14ac:dyDescent="0.2">
      <c r="A141" s="20"/>
      <c r="J141" s="113"/>
    </row>
    <row r="142" spans="1:10" x14ac:dyDescent="0.2">
      <c r="A142" s="20"/>
      <c r="J142" s="113"/>
    </row>
    <row r="143" spans="1:10" x14ac:dyDescent="0.2">
      <c r="A143" s="20"/>
      <c r="J143" s="113"/>
    </row>
    <row r="144" spans="1:10" x14ac:dyDescent="0.2">
      <c r="A144" s="20"/>
      <c r="J144" s="113"/>
    </row>
    <row r="145" spans="1:10" x14ac:dyDescent="0.2">
      <c r="A145" s="20"/>
      <c r="J145" s="113"/>
    </row>
    <row r="146" spans="1:10" x14ac:dyDescent="0.2">
      <c r="A146" s="20"/>
      <c r="J146" s="113"/>
    </row>
    <row r="147" spans="1:10" x14ac:dyDescent="0.2">
      <c r="A147" s="20"/>
      <c r="J147" s="113"/>
    </row>
    <row r="148" spans="1:10" x14ac:dyDescent="0.2">
      <c r="A148" s="20"/>
      <c r="J148" s="113"/>
    </row>
    <row r="149" spans="1:10" x14ac:dyDescent="0.2">
      <c r="A149" s="20"/>
      <c r="J149" s="113"/>
    </row>
    <row r="150" spans="1:10" x14ac:dyDescent="0.2">
      <c r="A150" s="20"/>
      <c r="J150" s="113"/>
    </row>
    <row r="151" spans="1:10" x14ac:dyDescent="0.2">
      <c r="A151" s="20"/>
      <c r="J151" s="113"/>
    </row>
    <row r="152" spans="1:10" x14ac:dyDescent="0.2">
      <c r="A152" s="20"/>
      <c r="J152" s="113"/>
    </row>
    <row r="153" spans="1:10" x14ac:dyDescent="0.2">
      <c r="A153" s="20"/>
      <c r="J153" s="113"/>
    </row>
    <row r="154" spans="1:10" x14ac:dyDescent="0.2">
      <c r="A154" s="20"/>
      <c r="J154" s="113"/>
    </row>
    <row r="155" spans="1:10" x14ac:dyDescent="0.2">
      <c r="A155" s="20"/>
      <c r="J155" s="113"/>
    </row>
    <row r="156" spans="1:10" x14ac:dyDescent="0.2">
      <c r="A156" s="20"/>
      <c r="J156" s="113"/>
    </row>
    <row r="157" spans="1:10" x14ac:dyDescent="0.2">
      <c r="A157" s="20"/>
      <c r="J157" s="113"/>
    </row>
    <row r="158" spans="1:10" x14ac:dyDescent="0.2">
      <c r="A158" s="20"/>
      <c r="J158" s="113"/>
    </row>
    <row r="159" spans="1:10" x14ac:dyDescent="0.2">
      <c r="A159" s="20"/>
      <c r="J159" s="113"/>
    </row>
    <row r="160" spans="1:10" x14ac:dyDescent="0.2">
      <c r="A160" s="20"/>
      <c r="J160" s="113"/>
    </row>
    <row r="161" spans="1:10" x14ac:dyDescent="0.2">
      <c r="A161" s="20"/>
      <c r="J161" s="113"/>
    </row>
    <row r="162" spans="1:10" x14ac:dyDescent="0.2">
      <c r="A162" s="20"/>
      <c r="J162" s="113"/>
    </row>
    <row r="163" spans="1:10" x14ac:dyDescent="0.2">
      <c r="A163" s="20"/>
      <c r="J163" s="113"/>
    </row>
    <row r="164" spans="1:10" x14ac:dyDescent="0.2">
      <c r="A164" s="20"/>
      <c r="J164" s="113"/>
    </row>
    <row r="165" spans="1:10" x14ac:dyDescent="0.2">
      <c r="A165" s="20"/>
      <c r="J165" s="113"/>
    </row>
    <row r="166" spans="1:10" x14ac:dyDescent="0.2">
      <c r="A166" s="20"/>
      <c r="J166" s="113"/>
    </row>
    <row r="167" spans="1:10" x14ac:dyDescent="0.2">
      <c r="J167" s="113"/>
    </row>
    <row r="168" spans="1:10" x14ac:dyDescent="0.2">
      <c r="J168" s="113"/>
    </row>
    <row r="169" spans="1:10" x14ac:dyDescent="0.2">
      <c r="J169" s="113"/>
    </row>
    <row r="170" spans="1:10" x14ac:dyDescent="0.2">
      <c r="J170" s="113"/>
    </row>
    <row r="171" spans="1:10" x14ac:dyDescent="0.2">
      <c r="J171" s="113"/>
    </row>
    <row r="172" spans="1:10" x14ac:dyDescent="0.2">
      <c r="J172" s="113"/>
    </row>
    <row r="173" spans="1:10" x14ac:dyDescent="0.2">
      <c r="J173" s="113"/>
    </row>
    <row r="174" spans="1:10" x14ac:dyDescent="0.2">
      <c r="J174" s="113"/>
    </row>
    <row r="175" spans="1:10" x14ac:dyDescent="0.2">
      <c r="J175" s="113"/>
    </row>
    <row r="176" spans="1:10" x14ac:dyDescent="0.2">
      <c r="J176" s="113"/>
    </row>
    <row r="177" spans="10:10" x14ac:dyDescent="0.2">
      <c r="J177" s="113"/>
    </row>
    <row r="178" spans="10:10" x14ac:dyDescent="0.2">
      <c r="J178" s="113"/>
    </row>
    <row r="179" spans="10:10" x14ac:dyDescent="0.2">
      <c r="J179" s="113"/>
    </row>
    <row r="180" spans="10:10" x14ac:dyDescent="0.2">
      <c r="J180" s="113"/>
    </row>
    <row r="181" spans="10:10" x14ac:dyDescent="0.2">
      <c r="J181" s="113"/>
    </row>
    <row r="182" spans="10:10" x14ac:dyDescent="0.2">
      <c r="J182" s="113"/>
    </row>
    <row r="183" spans="10:10" x14ac:dyDescent="0.2">
      <c r="J183" s="113"/>
    </row>
    <row r="184" spans="10:10" x14ac:dyDescent="0.2">
      <c r="J184" s="113"/>
    </row>
    <row r="185" spans="10:10" x14ac:dyDescent="0.2">
      <c r="J185" s="113"/>
    </row>
    <row r="186" spans="10:10" x14ac:dyDescent="0.2">
      <c r="J186" s="113"/>
    </row>
    <row r="187" spans="10:10" x14ac:dyDescent="0.2">
      <c r="J187" s="113"/>
    </row>
    <row r="188" spans="10:10" x14ac:dyDescent="0.2">
      <c r="J188" s="113"/>
    </row>
    <row r="189" spans="10:10" x14ac:dyDescent="0.2">
      <c r="J189" s="113"/>
    </row>
    <row r="190" spans="10:10" x14ac:dyDescent="0.2">
      <c r="J190" s="113"/>
    </row>
    <row r="191" spans="10:10" x14ac:dyDescent="0.2">
      <c r="J191" s="113"/>
    </row>
    <row r="192" spans="10:10" x14ac:dyDescent="0.2">
      <c r="J192" s="113"/>
    </row>
    <row r="193" spans="10:10" x14ac:dyDescent="0.2">
      <c r="J193" s="113"/>
    </row>
    <row r="194" spans="10:10" x14ac:dyDescent="0.2">
      <c r="J194" s="113"/>
    </row>
    <row r="195" spans="10:10" x14ac:dyDescent="0.2">
      <c r="J195" s="113"/>
    </row>
    <row r="196" spans="10:10" x14ac:dyDescent="0.2">
      <c r="J196" s="113"/>
    </row>
    <row r="197" spans="10:10" x14ac:dyDescent="0.2">
      <c r="J197" s="113"/>
    </row>
    <row r="198" spans="10:10" x14ac:dyDescent="0.2">
      <c r="J198" s="113"/>
    </row>
    <row r="199" spans="10:10" x14ac:dyDescent="0.2">
      <c r="J199" s="113"/>
    </row>
    <row r="200" spans="10:10" x14ac:dyDescent="0.2">
      <c r="J200" s="113"/>
    </row>
    <row r="201" spans="10:10" x14ac:dyDescent="0.2">
      <c r="J201" s="113"/>
    </row>
    <row r="202" spans="10:10" x14ac:dyDescent="0.2">
      <c r="J202" s="113"/>
    </row>
    <row r="203" spans="10:10" x14ac:dyDescent="0.2">
      <c r="J203" s="113"/>
    </row>
    <row r="204" spans="10:10" x14ac:dyDescent="0.2">
      <c r="J204" s="113"/>
    </row>
    <row r="205" spans="10:10" x14ac:dyDescent="0.2">
      <c r="J205" s="113"/>
    </row>
    <row r="206" spans="10:10" x14ac:dyDescent="0.2">
      <c r="J206" s="113"/>
    </row>
    <row r="207" spans="10:10" x14ac:dyDescent="0.2">
      <c r="J207" s="113"/>
    </row>
    <row r="208" spans="10:10" x14ac:dyDescent="0.2">
      <c r="J208" s="113"/>
    </row>
    <row r="209" spans="10:10" x14ac:dyDescent="0.2">
      <c r="J209" s="113"/>
    </row>
    <row r="210" spans="10:10" x14ac:dyDescent="0.2">
      <c r="J210" s="113"/>
    </row>
    <row r="211" spans="10:10" x14ac:dyDescent="0.2">
      <c r="J211" s="113"/>
    </row>
    <row r="212" spans="10:10" x14ac:dyDescent="0.2">
      <c r="J212" s="113"/>
    </row>
    <row r="213" spans="10:10" x14ac:dyDescent="0.2">
      <c r="J213" s="113"/>
    </row>
    <row r="214" spans="10:10" x14ac:dyDescent="0.2">
      <c r="J214" s="113"/>
    </row>
    <row r="215" spans="10:10" x14ac:dyDescent="0.2">
      <c r="J215" s="113"/>
    </row>
    <row r="216" spans="10:10" x14ac:dyDescent="0.2">
      <c r="J216" s="113"/>
    </row>
    <row r="217" spans="10:10" x14ac:dyDescent="0.2">
      <c r="J217" s="113"/>
    </row>
    <row r="218" spans="10:10" x14ac:dyDescent="0.2">
      <c r="J218" s="113"/>
    </row>
    <row r="219" spans="10:10" x14ac:dyDescent="0.2">
      <c r="J219" s="113"/>
    </row>
    <row r="220" spans="10:10" x14ac:dyDescent="0.2">
      <c r="J220" s="113"/>
    </row>
    <row r="221" spans="10:10" x14ac:dyDescent="0.2">
      <c r="J221" s="113"/>
    </row>
    <row r="222" spans="10:10" x14ac:dyDescent="0.2">
      <c r="J222" s="113"/>
    </row>
    <row r="223" spans="10:10" x14ac:dyDescent="0.2">
      <c r="J223" s="113"/>
    </row>
    <row r="224" spans="10:10" x14ac:dyDescent="0.2">
      <c r="J224" s="113"/>
    </row>
    <row r="225" spans="10:10" x14ac:dyDescent="0.2">
      <c r="J225" s="113"/>
    </row>
    <row r="226" spans="10:10" x14ac:dyDescent="0.2">
      <c r="J226" s="113"/>
    </row>
    <row r="227" spans="10:10" x14ac:dyDescent="0.2">
      <c r="J227" s="113"/>
    </row>
    <row r="228" spans="10:10" x14ac:dyDescent="0.2">
      <c r="J228" s="113"/>
    </row>
    <row r="229" spans="10:10" x14ac:dyDescent="0.2">
      <c r="J229" s="113"/>
    </row>
    <row r="230" spans="10:10" x14ac:dyDescent="0.2">
      <c r="J230" s="113"/>
    </row>
    <row r="231" spans="10:10" x14ac:dyDescent="0.2">
      <c r="J231" s="113"/>
    </row>
    <row r="232" spans="10:10" x14ac:dyDescent="0.2">
      <c r="J232" s="113"/>
    </row>
    <row r="233" spans="10:10" x14ac:dyDescent="0.2">
      <c r="J233" s="113"/>
    </row>
    <row r="234" spans="10:10" x14ac:dyDescent="0.2">
      <c r="J234" s="113"/>
    </row>
    <row r="235" spans="10:10" x14ac:dyDescent="0.2">
      <c r="J235" s="113"/>
    </row>
    <row r="236" spans="10:10" x14ac:dyDescent="0.2">
      <c r="J236" s="113"/>
    </row>
    <row r="237" spans="10:10" x14ac:dyDescent="0.2">
      <c r="J237" s="113"/>
    </row>
    <row r="238" spans="10:10" x14ac:dyDescent="0.2">
      <c r="J238" s="113"/>
    </row>
    <row r="239" spans="10:10" x14ac:dyDescent="0.2">
      <c r="J239" s="113"/>
    </row>
    <row r="240" spans="10:10" x14ac:dyDescent="0.2">
      <c r="J240" s="113"/>
    </row>
    <row r="241" spans="10:10" x14ac:dyDescent="0.2">
      <c r="J241" s="113"/>
    </row>
    <row r="242" spans="10:10" x14ac:dyDescent="0.2">
      <c r="J242" s="113"/>
    </row>
    <row r="243" spans="10:10" x14ac:dyDescent="0.2">
      <c r="J243" s="113"/>
    </row>
    <row r="244" spans="10:10" x14ac:dyDescent="0.2">
      <c r="J244" s="113"/>
    </row>
    <row r="245" spans="10:10" x14ac:dyDescent="0.2">
      <c r="J245" s="113"/>
    </row>
    <row r="246" spans="10:10" x14ac:dyDescent="0.2">
      <c r="J246" s="113"/>
    </row>
    <row r="247" spans="10:10" x14ac:dyDescent="0.2">
      <c r="J247" s="113"/>
    </row>
    <row r="248" spans="10:10" x14ac:dyDescent="0.2">
      <c r="J248" s="113"/>
    </row>
    <row r="249" spans="10:10" x14ac:dyDescent="0.2">
      <c r="J249" s="113"/>
    </row>
    <row r="250" spans="10:10" x14ac:dyDescent="0.2">
      <c r="J250" s="113"/>
    </row>
    <row r="251" spans="10:10" x14ac:dyDescent="0.2">
      <c r="J251" s="113"/>
    </row>
    <row r="252" spans="10:10" x14ac:dyDescent="0.2">
      <c r="J252" s="113"/>
    </row>
    <row r="253" spans="10:10" x14ac:dyDescent="0.2">
      <c r="J253" s="113"/>
    </row>
    <row r="254" spans="10:10" x14ac:dyDescent="0.2">
      <c r="J254" s="113"/>
    </row>
    <row r="255" spans="10:10" x14ac:dyDescent="0.2">
      <c r="J255" s="113"/>
    </row>
    <row r="256" spans="10:10" x14ac:dyDescent="0.2">
      <c r="J256" s="113"/>
    </row>
    <row r="257" spans="10:10" x14ac:dyDescent="0.2">
      <c r="J257" s="113"/>
    </row>
    <row r="258" spans="10:10" x14ac:dyDescent="0.2">
      <c r="J258" s="113"/>
    </row>
    <row r="259" spans="10:10" x14ac:dyDescent="0.2">
      <c r="J259" s="113"/>
    </row>
    <row r="260" spans="10:10" x14ac:dyDescent="0.2">
      <c r="J260" s="113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8B73-CA0E-4E10-94D9-3B67324F94F4}">
  <sheetPr codeName="Sheet3">
    <tabColor rgb="FF0070C0"/>
    <pageSetUpPr fitToPage="1"/>
  </sheetPr>
  <dimension ref="A1:W157"/>
  <sheetViews>
    <sheetView tabSelected="1" topLeftCell="A24" zoomScale="90" zoomScaleNormal="90" workbookViewId="0">
      <selection activeCell="N61" sqref="N61:N64"/>
    </sheetView>
  </sheetViews>
  <sheetFormatPr defaultColWidth="9.140625" defaultRowHeight="12.75" x14ac:dyDescent="0.2"/>
  <cols>
    <col min="1" max="1" width="15" style="8" customWidth="1"/>
    <col min="2" max="2" width="11.7109375" style="8" customWidth="1"/>
    <col min="3" max="3" width="12.42578125" style="8" customWidth="1"/>
    <col min="4" max="4" width="14.85546875" style="4" bestFit="1" customWidth="1"/>
    <col min="5" max="5" width="9.140625" style="4"/>
    <col min="6" max="6" width="13.5703125" style="4" bestFit="1" customWidth="1"/>
    <col min="7" max="8" width="13.5703125" style="4" customWidth="1"/>
    <col min="9" max="9" width="9.140625" style="8"/>
    <col min="10" max="11" width="9.140625" style="4"/>
    <col min="12" max="12" width="13.7109375" style="4" bestFit="1" customWidth="1"/>
    <col min="13" max="13" width="14.85546875" style="4" customWidth="1"/>
    <col min="14" max="14" width="13.42578125" style="4" bestFit="1" customWidth="1"/>
    <col min="15" max="15" width="16.5703125" style="4" bestFit="1" customWidth="1"/>
    <col min="16" max="16" width="10.7109375" style="4" bestFit="1" customWidth="1"/>
    <col min="17" max="17" width="13.42578125" style="4" bestFit="1" customWidth="1"/>
    <col min="18" max="18" width="10.7109375" style="4" bestFit="1" customWidth="1"/>
    <col min="19" max="19" width="13.42578125" style="4" bestFit="1" customWidth="1"/>
    <col min="20" max="20" width="13.7109375" style="4" bestFit="1" customWidth="1"/>
    <col min="21" max="22" width="9.140625" style="4"/>
    <col min="23" max="23" width="15" style="4" bestFit="1" customWidth="1"/>
    <col min="24" max="16384" width="9.140625" style="4"/>
  </cols>
  <sheetData>
    <row r="1" spans="1:23" x14ac:dyDescent="0.2">
      <c r="A1" s="20" t="s">
        <v>53</v>
      </c>
      <c r="B1" s="20" t="str">
        <f>'Device Cables'!B1</f>
        <v>9628-003</v>
      </c>
      <c r="C1" s="16"/>
      <c r="L1" s="20" t="s">
        <v>53</v>
      </c>
      <c r="M1" s="20" t="str">
        <f>B1</f>
        <v>9628-003</v>
      </c>
      <c r="N1" s="16"/>
    </row>
    <row r="2" spans="1:23" x14ac:dyDescent="0.2">
      <c r="A2" s="20" t="s">
        <v>54</v>
      </c>
      <c r="B2" s="20" t="str">
        <f>'Device Cables'!B2</f>
        <v>GM ORN - ZJ040 - NFP 3 FRONT PIERCE - T1XXF1_2</v>
      </c>
      <c r="C2" s="16"/>
      <c r="L2" s="20" t="s">
        <v>54</v>
      </c>
      <c r="M2" s="20" t="str">
        <f>B2</f>
        <v>GM ORN - ZJ040 - NFP 3 FRONT PIERCE - T1XXF1_2</v>
      </c>
      <c r="N2" s="16"/>
    </row>
    <row r="3" spans="1:23" ht="13.5" thickBot="1" x14ac:dyDescent="0.25"/>
    <row r="4" spans="1:23" s="16" customFormat="1" ht="13.5" thickBot="1" x14ac:dyDescent="0.25">
      <c r="A4" s="19" t="s">
        <v>13</v>
      </c>
      <c r="B4" s="19" t="s">
        <v>58</v>
      </c>
      <c r="C4" s="19" t="s">
        <v>57</v>
      </c>
      <c r="D4" s="19" t="s">
        <v>38</v>
      </c>
      <c r="E4" s="19" t="s">
        <v>39</v>
      </c>
      <c r="F4" s="19" t="s">
        <v>13</v>
      </c>
      <c r="G4" s="19" t="s">
        <v>14</v>
      </c>
      <c r="H4" s="19" t="s">
        <v>15</v>
      </c>
      <c r="I4" s="19" t="s">
        <v>51</v>
      </c>
      <c r="J4" s="3"/>
      <c r="L4" s="21" t="s">
        <v>13</v>
      </c>
      <c r="M4" s="22" t="s">
        <v>58</v>
      </c>
      <c r="N4" s="22" t="s">
        <v>57</v>
      </c>
      <c r="O4" s="22" t="s">
        <v>38</v>
      </c>
      <c r="P4" s="38" t="s">
        <v>39</v>
      </c>
      <c r="Q4" s="23" t="s">
        <v>13</v>
      </c>
      <c r="R4" s="24" t="s">
        <v>39</v>
      </c>
      <c r="S4" s="25" t="s">
        <v>60</v>
      </c>
      <c r="T4" s="39" t="s">
        <v>56</v>
      </c>
      <c r="W4" s="109" t="s">
        <v>98</v>
      </c>
    </row>
    <row r="5" spans="1:23" ht="16.149999999999999" customHeight="1" x14ac:dyDescent="0.2">
      <c r="A5" s="161" t="s">
        <v>136</v>
      </c>
      <c r="B5" s="161" t="s">
        <v>125</v>
      </c>
      <c r="C5" s="161" t="s">
        <v>2</v>
      </c>
      <c r="D5" s="168" t="s">
        <v>195</v>
      </c>
      <c r="E5" s="161" t="s">
        <v>1</v>
      </c>
      <c r="F5" s="50" t="str">
        <f>A5</f>
        <v>CB05-1</v>
      </c>
      <c r="G5" s="50" t="str">
        <f>E5</f>
        <v>POWER</v>
      </c>
      <c r="H5" s="50" t="str">
        <f>B5</f>
        <v>ENC</v>
      </c>
      <c r="I5" s="52">
        <v>1</v>
      </c>
      <c r="J5" s="3"/>
      <c r="L5" s="149" t="str">
        <f t="shared" ref="L5" si="0">A5</f>
        <v>CB05-1</v>
      </c>
      <c r="M5" s="157" t="str">
        <f t="shared" ref="M5" si="1">B5</f>
        <v>ENC</v>
      </c>
      <c r="N5" s="157" t="str">
        <f t="shared" ref="N5" si="2">C5</f>
        <v>J1</v>
      </c>
      <c r="O5" s="160" t="str">
        <f t="shared" ref="O5" si="3">D5</f>
        <v>3100-0234-30</v>
      </c>
      <c r="P5" s="156" t="str">
        <f t="shared" ref="P5" si="4">E5</f>
        <v>POWER</v>
      </c>
      <c r="Q5" s="36" t="str">
        <f t="shared" ref="Q5:Q16" si="5">F5</f>
        <v>CB05-1</v>
      </c>
      <c r="R5" s="34" t="str">
        <f t="shared" ref="R5:R16" si="6">G5</f>
        <v>POWER</v>
      </c>
      <c r="S5" s="35" t="str">
        <f t="shared" ref="S5:S16" si="7">H5</f>
        <v>ENC</v>
      </c>
      <c r="T5" s="60" t="s">
        <v>59</v>
      </c>
      <c r="W5" s="115" t="str">
        <f>IF(A5=0, "",A5)</f>
        <v>CB05-1</v>
      </c>
    </row>
    <row r="6" spans="1:23" ht="16.149999999999999" customHeight="1" x14ac:dyDescent="0.2">
      <c r="A6" s="165"/>
      <c r="B6" s="165"/>
      <c r="C6" s="165"/>
      <c r="D6" s="166"/>
      <c r="E6" s="162"/>
      <c r="F6" s="17" t="str">
        <f>A5</f>
        <v>CB05-1</v>
      </c>
      <c r="G6" s="17" t="str">
        <f>E5</f>
        <v>POWER</v>
      </c>
      <c r="H6" s="17" t="str">
        <f>C5</f>
        <v>J1</v>
      </c>
      <c r="I6" s="48">
        <v>1</v>
      </c>
      <c r="J6" s="3"/>
      <c r="L6" s="150"/>
      <c r="M6" s="158"/>
      <c r="N6" s="158"/>
      <c r="O6" s="152"/>
      <c r="P6" s="154"/>
      <c r="Q6" s="31" t="str">
        <f t="shared" si="5"/>
        <v>CB05-1</v>
      </c>
      <c r="R6" s="26" t="str">
        <f t="shared" si="6"/>
        <v>POWER</v>
      </c>
      <c r="S6" s="27" t="str">
        <f t="shared" si="7"/>
        <v>J1</v>
      </c>
      <c r="T6" s="61" t="s">
        <v>55</v>
      </c>
      <c r="W6" s="115" t="str">
        <f t="shared" ref="W6:W116" si="8">IF(A6=0, "",A6)</f>
        <v/>
      </c>
    </row>
    <row r="7" spans="1:23" ht="16.149999999999999" customHeight="1" x14ac:dyDescent="0.2">
      <c r="A7" s="165"/>
      <c r="B7" s="165"/>
      <c r="C7" s="165"/>
      <c r="D7" s="152" t="str">
        <f>"3100-0231-"&amp;MID(D5,11,2)</f>
        <v>3100-0231-30</v>
      </c>
      <c r="E7" s="163" t="s">
        <v>28</v>
      </c>
      <c r="F7" s="17" t="str">
        <f>A5</f>
        <v>CB05-1</v>
      </c>
      <c r="G7" s="17" t="str">
        <f>E7</f>
        <v>ETHERNET</v>
      </c>
      <c r="H7" s="17" t="str">
        <f>B5</f>
        <v>ENC</v>
      </c>
      <c r="I7" s="48">
        <v>1</v>
      </c>
      <c r="L7" s="150"/>
      <c r="M7" s="158"/>
      <c r="N7" s="158"/>
      <c r="O7" s="152" t="str">
        <f>D7</f>
        <v>3100-0231-30</v>
      </c>
      <c r="P7" s="154" t="str">
        <f>E7</f>
        <v>ETHERNET</v>
      </c>
      <c r="Q7" s="31" t="str">
        <f t="shared" si="5"/>
        <v>CB05-1</v>
      </c>
      <c r="R7" s="26" t="str">
        <f t="shared" si="6"/>
        <v>ETHERNET</v>
      </c>
      <c r="S7" s="27" t="str">
        <f t="shared" si="7"/>
        <v>ENC</v>
      </c>
      <c r="T7" s="61" t="s">
        <v>59</v>
      </c>
      <c r="W7" s="115" t="str">
        <f t="shared" si="8"/>
        <v/>
      </c>
    </row>
    <row r="8" spans="1:23" ht="16.149999999999999" customHeight="1" thickBot="1" x14ac:dyDescent="0.25">
      <c r="A8" s="165"/>
      <c r="B8" s="164"/>
      <c r="C8" s="164"/>
      <c r="D8" s="153" t="str">
        <f>"3100-0233-"&amp;MID(D7,11,2)</f>
        <v>3100-0233-30</v>
      </c>
      <c r="E8" s="164"/>
      <c r="F8" s="33" t="str">
        <f>A5</f>
        <v>CB05-1</v>
      </c>
      <c r="G8" s="33" t="str">
        <f>E7</f>
        <v>ETHERNET</v>
      </c>
      <c r="H8" s="33" t="str">
        <f>C5</f>
        <v>J1</v>
      </c>
      <c r="I8" s="41">
        <v>1</v>
      </c>
      <c r="L8" s="150"/>
      <c r="M8" s="159"/>
      <c r="N8" s="159"/>
      <c r="O8" s="153"/>
      <c r="P8" s="155"/>
      <c r="Q8" s="37" t="str">
        <f t="shared" si="5"/>
        <v>CB05-1</v>
      </c>
      <c r="R8" s="28" t="str">
        <f t="shared" si="6"/>
        <v>ETHERNET</v>
      </c>
      <c r="S8" s="29" t="str">
        <f t="shared" si="7"/>
        <v>J1</v>
      </c>
      <c r="T8" s="62" t="s">
        <v>55</v>
      </c>
      <c r="W8" s="115" t="str">
        <f t="shared" si="8"/>
        <v/>
      </c>
    </row>
    <row r="9" spans="1:23" ht="16.149999999999999" customHeight="1" x14ac:dyDescent="0.2">
      <c r="A9" s="165"/>
      <c r="B9" s="161" t="s">
        <v>2</v>
      </c>
      <c r="C9" s="161" t="s">
        <v>3</v>
      </c>
      <c r="D9" s="168" t="s">
        <v>31</v>
      </c>
      <c r="E9" s="161" t="s">
        <v>1</v>
      </c>
      <c r="F9" s="50" t="str">
        <f>A5</f>
        <v>CB05-1</v>
      </c>
      <c r="G9" s="50" t="str">
        <f>E9</f>
        <v>POWER</v>
      </c>
      <c r="H9" s="50" t="str">
        <f>B9</f>
        <v>J1</v>
      </c>
      <c r="I9" s="52">
        <v>1</v>
      </c>
      <c r="J9" s="3"/>
      <c r="L9" s="150"/>
      <c r="M9" s="157" t="str">
        <f>B9</f>
        <v>J1</v>
      </c>
      <c r="N9" s="157" t="str">
        <f>C9</f>
        <v>J3</v>
      </c>
      <c r="O9" s="160" t="str">
        <f>D9</f>
        <v>3100-0234-10</v>
      </c>
      <c r="P9" s="156" t="str">
        <f>E9</f>
        <v>POWER</v>
      </c>
      <c r="Q9" s="36" t="str">
        <f t="shared" si="5"/>
        <v>CB05-1</v>
      </c>
      <c r="R9" s="34" t="str">
        <f t="shared" si="6"/>
        <v>POWER</v>
      </c>
      <c r="S9" s="35" t="str">
        <f t="shared" si="7"/>
        <v>J1</v>
      </c>
      <c r="T9" s="60" t="s">
        <v>59</v>
      </c>
      <c r="W9" s="115" t="str">
        <f t="shared" si="8"/>
        <v/>
      </c>
    </row>
    <row r="10" spans="1:23" ht="16.149999999999999" customHeight="1" x14ac:dyDescent="0.2">
      <c r="A10" s="165"/>
      <c r="B10" s="165"/>
      <c r="C10" s="165"/>
      <c r="D10" s="166"/>
      <c r="E10" s="162"/>
      <c r="F10" s="17" t="str">
        <f>A5</f>
        <v>CB05-1</v>
      </c>
      <c r="G10" s="17" t="str">
        <f>E9</f>
        <v>POWER</v>
      </c>
      <c r="H10" s="17" t="str">
        <f>C9</f>
        <v>J3</v>
      </c>
      <c r="I10" s="48">
        <v>1</v>
      </c>
      <c r="J10" s="3"/>
      <c r="L10" s="150"/>
      <c r="M10" s="158"/>
      <c r="N10" s="158"/>
      <c r="O10" s="152"/>
      <c r="P10" s="154"/>
      <c r="Q10" s="31" t="str">
        <f t="shared" si="5"/>
        <v>CB05-1</v>
      </c>
      <c r="R10" s="26" t="str">
        <f t="shared" si="6"/>
        <v>POWER</v>
      </c>
      <c r="S10" s="27" t="str">
        <f t="shared" si="7"/>
        <v>J3</v>
      </c>
      <c r="T10" s="61" t="s">
        <v>55</v>
      </c>
      <c r="W10" s="115" t="str">
        <f t="shared" si="8"/>
        <v/>
      </c>
    </row>
    <row r="11" spans="1:23" ht="16.149999999999999" customHeight="1" x14ac:dyDescent="0.2">
      <c r="A11" s="165"/>
      <c r="B11" s="165"/>
      <c r="C11" s="165"/>
      <c r="D11" s="152" t="str">
        <f>"3100-0232-"&amp;MID(D9,11,2)</f>
        <v>3100-0232-10</v>
      </c>
      <c r="E11" s="163" t="s">
        <v>28</v>
      </c>
      <c r="F11" s="17" t="str">
        <f>A5</f>
        <v>CB05-1</v>
      </c>
      <c r="G11" s="17" t="str">
        <f>E11</f>
        <v>ETHERNET</v>
      </c>
      <c r="H11" s="17" t="str">
        <f>B9</f>
        <v>J1</v>
      </c>
      <c r="I11" s="48">
        <v>1</v>
      </c>
      <c r="L11" s="150"/>
      <c r="M11" s="158"/>
      <c r="N11" s="158"/>
      <c r="O11" s="152" t="str">
        <f>D11</f>
        <v>3100-0232-10</v>
      </c>
      <c r="P11" s="154" t="str">
        <f>E11</f>
        <v>ETHERNET</v>
      </c>
      <c r="Q11" s="31" t="str">
        <f t="shared" si="5"/>
        <v>CB05-1</v>
      </c>
      <c r="R11" s="26" t="str">
        <f t="shared" si="6"/>
        <v>ETHERNET</v>
      </c>
      <c r="S11" s="27" t="str">
        <f t="shared" si="7"/>
        <v>J1</v>
      </c>
      <c r="T11" s="61" t="s">
        <v>59</v>
      </c>
      <c r="W11" s="115" t="str">
        <f t="shared" si="8"/>
        <v/>
      </c>
    </row>
    <row r="12" spans="1:23" ht="16.149999999999999" customHeight="1" thickBot="1" x14ac:dyDescent="0.25">
      <c r="A12" s="165"/>
      <c r="B12" s="164"/>
      <c r="C12" s="164"/>
      <c r="D12" s="153" t="str">
        <f>"3100-0233-"&amp;MID(D11,11,2)</f>
        <v>3100-0233-10</v>
      </c>
      <c r="E12" s="164"/>
      <c r="F12" s="33" t="str">
        <f>A5</f>
        <v>CB05-1</v>
      </c>
      <c r="G12" s="33" t="str">
        <f>E11</f>
        <v>ETHERNET</v>
      </c>
      <c r="H12" s="33" t="str">
        <f>C9</f>
        <v>J3</v>
      </c>
      <c r="I12" s="41">
        <v>1</v>
      </c>
      <c r="L12" s="150"/>
      <c r="M12" s="159"/>
      <c r="N12" s="159"/>
      <c r="O12" s="153"/>
      <c r="P12" s="155"/>
      <c r="Q12" s="37" t="str">
        <f t="shared" si="5"/>
        <v>CB05-1</v>
      </c>
      <c r="R12" s="28" t="str">
        <f t="shared" si="6"/>
        <v>ETHERNET</v>
      </c>
      <c r="S12" s="29" t="str">
        <f t="shared" si="7"/>
        <v>J3</v>
      </c>
      <c r="T12" s="62" t="s">
        <v>55</v>
      </c>
      <c r="W12" s="115" t="str">
        <f t="shared" si="8"/>
        <v/>
      </c>
    </row>
    <row r="13" spans="1:23" ht="16.149999999999999" customHeight="1" x14ac:dyDescent="0.2">
      <c r="A13" s="165"/>
      <c r="B13" s="161" t="s">
        <v>3</v>
      </c>
      <c r="C13" s="157" t="str">
        <f>A5</f>
        <v>CB05-1</v>
      </c>
      <c r="D13" s="168" t="s">
        <v>32</v>
      </c>
      <c r="E13" s="161" t="s">
        <v>1</v>
      </c>
      <c r="F13" s="50" t="str">
        <f>A5</f>
        <v>CB05-1</v>
      </c>
      <c r="G13" s="50" t="str">
        <f>E13</f>
        <v>POWER</v>
      </c>
      <c r="H13" s="50" t="str">
        <f>B13</f>
        <v>J3</v>
      </c>
      <c r="I13" s="52">
        <v>1</v>
      </c>
      <c r="J13" s="3"/>
      <c r="L13" s="150"/>
      <c r="M13" s="157" t="str">
        <f>B13</f>
        <v>J3</v>
      </c>
      <c r="N13" s="157" t="str">
        <f>C13</f>
        <v>CB05-1</v>
      </c>
      <c r="O13" s="160" t="str">
        <f>D13</f>
        <v>3100-0234-07</v>
      </c>
      <c r="P13" s="156" t="str">
        <f>E13</f>
        <v>POWER</v>
      </c>
      <c r="Q13" s="36" t="str">
        <f t="shared" si="5"/>
        <v>CB05-1</v>
      </c>
      <c r="R13" s="34" t="str">
        <f t="shared" si="6"/>
        <v>POWER</v>
      </c>
      <c r="S13" s="35" t="str">
        <f t="shared" si="7"/>
        <v>J3</v>
      </c>
      <c r="T13" s="60" t="s">
        <v>59</v>
      </c>
      <c r="W13" s="115" t="str">
        <f t="shared" si="8"/>
        <v/>
      </c>
    </row>
    <row r="14" spans="1:23" ht="16.149999999999999" customHeight="1" x14ac:dyDescent="0.2">
      <c r="A14" s="165"/>
      <c r="B14" s="165"/>
      <c r="C14" s="158"/>
      <c r="D14" s="166"/>
      <c r="E14" s="162"/>
      <c r="F14" s="17" t="str">
        <f>A5</f>
        <v>CB05-1</v>
      </c>
      <c r="G14" s="17" t="str">
        <f>E13</f>
        <v>POWER</v>
      </c>
      <c r="H14" s="17" t="str">
        <f>C13</f>
        <v>CB05-1</v>
      </c>
      <c r="I14" s="48">
        <v>1</v>
      </c>
      <c r="J14" s="3"/>
      <c r="L14" s="150"/>
      <c r="M14" s="158"/>
      <c r="N14" s="158"/>
      <c r="O14" s="152"/>
      <c r="P14" s="154"/>
      <c r="Q14" s="31" t="str">
        <f t="shared" si="5"/>
        <v>CB05-1</v>
      </c>
      <c r="R14" s="26" t="str">
        <f t="shared" si="6"/>
        <v>POWER</v>
      </c>
      <c r="S14" s="27" t="str">
        <f t="shared" si="7"/>
        <v>CB05-1</v>
      </c>
      <c r="T14" s="61" t="s">
        <v>55</v>
      </c>
      <c r="W14" s="115" t="str">
        <f t="shared" si="8"/>
        <v/>
      </c>
    </row>
    <row r="15" spans="1:23" ht="16.149999999999999" customHeight="1" x14ac:dyDescent="0.2">
      <c r="A15" s="165"/>
      <c r="B15" s="165"/>
      <c r="C15" s="158"/>
      <c r="D15" s="152" t="str">
        <f>"3100-0233-"&amp;MID(D13,11,2)</f>
        <v>3100-0233-07</v>
      </c>
      <c r="E15" s="163" t="s">
        <v>28</v>
      </c>
      <c r="F15" s="17" t="str">
        <f>A5</f>
        <v>CB05-1</v>
      </c>
      <c r="G15" s="17" t="str">
        <f>E15</f>
        <v>ETHERNET</v>
      </c>
      <c r="H15" s="17" t="str">
        <f>B13</f>
        <v>J3</v>
      </c>
      <c r="I15" s="48">
        <v>1</v>
      </c>
      <c r="L15" s="150"/>
      <c r="M15" s="158"/>
      <c r="N15" s="158"/>
      <c r="O15" s="152" t="str">
        <f>D15</f>
        <v>3100-0233-07</v>
      </c>
      <c r="P15" s="154" t="str">
        <f>E15</f>
        <v>ETHERNET</v>
      </c>
      <c r="Q15" s="31" t="str">
        <f t="shared" si="5"/>
        <v>CB05-1</v>
      </c>
      <c r="R15" s="26" t="str">
        <f t="shared" si="6"/>
        <v>ETHERNET</v>
      </c>
      <c r="S15" s="27" t="str">
        <f t="shared" si="7"/>
        <v>J3</v>
      </c>
      <c r="T15" s="61" t="s">
        <v>59</v>
      </c>
      <c r="W15" s="115" t="str">
        <f t="shared" si="8"/>
        <v/>
      </c>
    </row>
    <row r="16" spans="1:23" ht="16.149999999999999" customHeight="1" thickBot="1" x14ac:dyDescent="0.25">
      <c r="A16" s="164"/>
      <c r="B16" s="164"/>
      <c r="C16" s="159"/>
      <c r="D16" s="153" t="str">
        <f>"3100-0233-"&amp;MID(D15,11,2)</f>
        <v>3100-0233-07</v>
      </c>
      <c r="E16" s="164"/>
      <c r="F16" s="33" t="str">
        <f>A5</f>
        <v>CB05-1</v>
      </c>
      <c r="G16" s="33" t="str">
        <f>E15</f>
        <v>ETHERNET</v>
      </c>
      <c r="H16" s="33" t="str">
        <f>C13</f>
        <v>CB05-1</v>
      </c>
      <c r="I16" s="41">
        <v>1</v>
      </c>
      <c r="L16" s="151"/>
      <c r="M16" s="159"/>
      <c r="N16" s="159"/>
      <c r="O16" s="153"/>
      <c r="P16" s="155"/>
      <c r="Q16" s="37" t="str">
        <f t="shared" si="5"/>
        <v>CB05-1</v>
      </c>
      <c r="R16" s="28" t="str">
        <f t="shared" si="6"/>
        <v>ETHERNET</v>
      </c>
      <c r="S16" s="29" t="str">
        <f t="shared" si="7"/>
        <v>CB05-1</v>
      </c>
      <c r="T16" s="62" t="s">
        <v>59</v>
      </c>
      <c r="W16" s="115" t="str">
        <f t="shared" si="8"/>
        <v/>
      </c>
    </row>
    <row r="17" spans="1:23" ht="16.149999999999999" customHeight="1" x14ac:dyDescent="0.2">
      <c r="A17" s="161" t="s">
        <v>137</v>
      </c>
      <c r="B17" s="161" t="s">
        <v>125</v>
      </c>
      <c r="C17" s="161" t="s">
        <v>2</v>
      </c>
      <c r="D17" s="168" t="s">
        <v>29</v>
      </c>
      <c r="E17" s="161" t="s">
        <v>1</v>
      </c>
      <c r="F17" s="50" t="str">
        <f>A17</f>
        <v>CB06-1</v>
      </c>
      <c r="G17" s="50" t="str">
        <f>E17</f>
        <v>POWER</v>
      </c>
      <c r="H17" s="50" t="str">
        <f>B17</f>
        <v>ENC</v>
      </c>
      <c r="I17" s="52">
        <v>1</v>
      </c>
      <c r="J17" s="3"/>
      <c r="L17" s="149" t="str">
        <f t="shared" ref="L17" si="9">A17</f>
        <v>CB06-1</v>
      </c>
      <c r="M17" s="157" t="str">
        <f t="shared" ref="M17" si="10">B17</f>
        <v>ENC</v>
      </c>
      <c r="N17" s="157" t="str">
        <f t="shared" ref="N17" si="11">C17</f>
        <v>J1</v>
      </c>
      <c r="O17" s="160" t="str">
        <f t="shared" ref="O17" si="12">D17</f>
        <v>3100-0234-15</v>
      </c>
      <c r="P17" s="156" t="str">
        <f t="shared" ref="P17" si="13">E17</f>
        <v>POWER</v>
      </c>
      <c r="Q17" s="36" t="str">
        <f t="shared" ref="Q17:Q52" si="14">F17</f>
        <v>CB06-1</v>
      </c>
      <c r="R17" s="34" t="str">
        <f t="shared" ref="R17:R52" si="15">G17</f>
        <v>POWER</v>
      </c>
      <c r="S17" s="35" t="str">
        <f t="shared" ref="S17:S52" si="16">H17</f>
        <v>ENC</v>
      </c>
      <c r="T17" s="60" t="s">
        <v>59</v>
      </c>
      <c r="W17" s="115" t="str">
        <f>IF(A17=0, "",A17)</f>
        <v>CB06-1</v>
      </c>
    </row>
    <row r="18" spans="1:23" ht="16.149999999999999" customHeight="1" x14ac:dyDescent="0.2">
      <c r="A18" s="165"/>
      <c r="B18" s="165"/>
      <c r="C18" s="165"/>
      <c r="D18" s="166"/>
      <c r="E18" s="162"/>
      <c r="F18" s="17" t="str">
        <f>A17</f>
        <v>CB06-1</v>
      </c>
      <c r="G18" s="17" t="str">
        <f>E17</f>
        <v>POWER</v>
      </c>
      <c r="H18" s="17" t="str">
        <f>C17</f>
        <v>J1</v>
      </c>
      <c r="I18" s="48">
        <v>1</v>
      </c>
      <c r="J18" s="3"/>
      <c r="L18" s="150"/>
      <c r="M18" s="158"/>
      <c r="N18" s="158"/>
      <c r="O18" s="152"/>
      <c r="P18" s="154"/>
      <c r="Q18" s="31" t="str">
        <f t="shared" si="14"/>
        <v>CB06-1</v>
      </c>
      <c r="R18" s="26" t="str">
        <f t="shared" si="15"/>
        <v>POWER</v>
      </c>
      <c r="S18" s="27" t="str">
        <f t="shared" si="16"/>
        <v>J1</v>
      </c>
      <c r="T18" s="61" t="s">
        <v>55</v>
      </c>
      <c r="W18" s="115" t="str">
        <f t="shared" ref="W18:W52" si="17">IF(A18=0, "",A18)</f>
        <v/>
      </c>
    </row>
    <row r="19" spans="1:23" ht="16.149999999999999" customHeight="1" x14ac:dyDescent="0.2">
      <c r="A19" s="165"/>
      <c r="B19" s="165"/>
      <c r="C19" s="165"/>
      <c r="D19" s="152" t="str">
        <f>"3100-0231-"&amp;MID(D17,11,2)</f>
        <v>3100-0231-15</v>
      </c>
      <c r="E19" s="163" t="s">
        <v>28</v>
      </c>
      <c r="F19" s="17" t="str">
        <f>A17</f>
        <v>CB06-1</v>
      </c>
      <c r="G19" s="17" t="str">
        <f>E19</f>
        <v>ETHERNET</v>
      </c>
      <c r="H19" s="17" t="str">
        <f>B17</f>
        <v>ENC</v>
      </c>
      <c r="I19" s="48">
        <v>1</v>
      </c>
      <c r="L19" s="150"/>
      <c r="M19" s="158"/>
      <c r="N19" s="158"/>
      <c r="O19" s="152" t="str">
        <f>D19</f>
        <v>3100-0231-15</v>
      </c>
      <c r="P19" s="154" t="str">
        <f>E19</f>
        <v>ETHERNET</v>
      </c>
      <c r="Q19" s="31" t="str">
        <f t="shared" si="14"/>
        <v>CB06-1</v>
      </c>
      <c r="R19" s="26" t="str">
        <f t="shared" si="15"/>
        <v>ETHERNET</v>
      </c>
      <c r="S19" s="27" t="str">
        <f t="shared" si="16"/>
        <v>ENC</v>
      </c>
      <c r="T19" s="61" t="s">
        <v>59</v>
      </c>
      <c r="W19" s="115" t="str">
        <f t="shared" si="17"/>
        <v/>
      </c>
    </row>
    <row r="20" spans="1:23" ht="16.149999999999999" customHeight="1" thickBot="1" x14ac:dyDescent="0.25">
      <c r="A20" s="165"/>
      <c r="B20" s="164"/>
      <c r="C20" s="164"/>
      <c r="D20" s="153" t="str">
        <f>"3100-0233-"&amp;MID(D19,11,2)</f>
        <v>3100-0233-15</v>
      </c>
      <c r="E20" s="164"/>
      <c r="F20" s="33" t="str">
        <f>A17</f>
        <v>CB06-1</v>
      </c>
      <c r="G20" s="33" t="str">
        <f>E19</f>
        <v>ETHERNET</v>
      </c>
      <c r="H20" s="33" t="str">
        <f>C17</f>
        <v>J1</v>
      </c>
      <c r="I20" s="41">
        <v>1</v>
      </c>
      <c r="L20" s="150"/>
      <c r="M20" s="159"/>
      <c r="N20" s="159"/>
      <c r="O20" s="153"/>
      <c r="P20" s="155"/>
      <c r="Q20" s="37" t="str">
        <f t="shared" si="14"/>
        <v>CB06-1</v>
      </c>
      <c r="R20" s="28" t="str">
        <f t="shared" si="15"/>
        <v>ETHERNET</v>
      </c>
      <c r="S20" s="29" t="str">
        <f t="shared" si="16"/>
        <v>J1</v>
      </c>
      <c r="T20" s="62" t="s">
        <v>55</v>
      </c>
      <c r="W20" s="115" t="str">
        <f t="shared" si="17"/>
        <v/>
      </c>
    </row>
    <row r="21" spans="1:23" ht="16.149999999999999" customHeight="1" x14ac:dyDescent="0.2">
      <c r="A21" s="165"/>
      <c r="B21" s="161" t="s">
        <v>2</v>
      </c>
      <c r="C21" s="161" t="s">
        <v>3</v>
      </c>
      <c r="D21" s="168" t="s">
        <v>31</v>
      </c>
      <c r="E21" s="161" t="s">
        <v>1</v>
      </c>
      <c r="F21" s="50" t="str">
        <f>A17</f>
        <v>CB06-1</v>
      </c>
      <c r="G21" s="50" t="str">
        <f>E21</f>
        <v>POWER</v>
      </c>
      <c r="H21" s="50" t="str">
        <f>B21</f>
        <v>J1</v>
      </c>
      <c r="I21" s="52">
        <v>1</v>
      </c>
      <c r="J21" s="3"/>
      <c r="L21" s="150"/>
      <c r="M21" s="157" t="str">
        <f>B21</f>
        <v>J1</v>
      </c>
      <c r="N21" s="157" t="str">
        <f>C21</f>
        <v>J3</v>
      </c>
      <c r="O21" s="160" t="str">
        <f>D21</f>
        <v>3100-0234-10</v>
      </c>
      <c r="P21" s="156" t="str">
        <f>E21</f>
        <v>POWER</v>
      </c>
      <c r="Q21" s="36" t="str">
        <f t="shared" si="14"/>
        <v>CB06-1</v>
      </c>
      <c r="R21" s="34" t="str">
        <f t="shared" si="15"/>
        <v>POWER</v>
      </c>
      <c r="S21" s="35" t="str">
        <f t="shared" si="16"/>
        <v>J1</v>
      </c>
      <c r="T21" s="60" t="s">
        <v>59</v>
      </c>
      <c r="W21" s="115" t="str">
        <f t="shared" si="17"/>
        <v/>
      </c>
    </row>
    <row r="22" spans="1:23" ht="16.149999999999999" customHeight="1" x14ac:dyDescent="0.2">
      <c r="A22" s="165"/>
      <c r="B22" s="165"/>
      <c r="C22" s="165"/>
      <c r="D22" s="166"/>
      <c r="E22" s="162"/>
      <c r="F22" s="17" t="str">
        <f>A17</f>
        <v>CB06-1</v>
      </c>
      <c r="G22" s="17" t="str">
        <f>E21</f>
        <v>POWER</v>
      </c>
      <c r="H22" s="17" t="str">
        <f>C21</f>
        <v>J3</v>
      </c>
      <c r="I22" s="48">
        <v>1</v>
      </c>
      <c r="J22" s="3"/>
      <c r="L22" s="150"/>
      <c r="M22" s="158"/>
      <c r="N22" s="158"/>
      <c r="O22" s="152"/>
      <c r="P22" s="154"/>
      <c r="Q22" s="31" t="str">
        <f t="shared" si="14"/>
        <v>CB06-1</v>
      </c>
      <c r="R22" s="26" t="str">
        <f t="shared" si="15"/>
        <v>POWER</v>
      </c>
      <c r="S22" s="27" t="str">
        <f t="shared" si="16"/>
        <v>J3</v>
      </c>
      <c r="T22" s="61" t="s">
        <v>55</v>
      </c>
      <c r="W22" s="115" t="str">
        <f t="shared" si="17"/>
        <v/>
      </c>
    </row>
    <row r="23" spans="1:23" ht="16.149999999999999" customHeight="1" x14ac:dyDescent="0.2">
      <c r="A23" s="165"/>
      <c r="B23" s="165"/>
      <c r="C23" s="165"/>
      <c r="D23" s="152" t="str">
        <f>"3100-0232-"&amp;MID(D21,11,2)</f>
        <v>3100-0232-10</v>
      </c>
      <c r="E23" s="163" t="s">
        <v>28</v>
      </c>
      <c r="F23" s="17" t="str">
        <f>A17</f>
        <v>CB06-1</v>
      </c>
      <c r="G23" s="17" t="str">
        <f>E23</f>
        <v>ETHERNET</v>
      </c>
      <c r="H23" s="17" t="str">
        <f>B21</f>
        <v>J1</v>
      </c>
      <c r="I23" s="48">
        <v>1</v>
      </c>
      <c r="L23" s="150"/>
      <c r="M23" s="158"/>
      <c r="N23" s="158"/>
      <c r="O23" s="152" t="str">
        <f>D23</f>
        <v>3100-0232-10</v>
      </c>
      <c r="P23" s="154" t="str">
        <f>E23</f>
        <v>ETHERNET</v>
      </c>
      <c r="Q23" s="31" t="str">
        <f t="shared" si="14"/>
        <v>CB06-1</v>
      </c>
      <c r="R23" s="26" t="str">
        <f t="shared" si="15"/>
        <v>ETHERNET</v>
      </c>
      <c r="S23" s="27" t="str">
        <f t="shared" si="16"/>
        <v>J1</v>
      </c>
      <c r="T23" s="61" t="s">
        <v>59</v>
      </c>
      <c r="W23" s="115" t="str">
        <f t="shared" si="17"/>
        <v/>
      </c>
    </row>
    <row r="24" spans="1:23" ht="16.149999999999999" customHeight="1" thickBot="1" x14ac:dyDescent="0.25">
      <c r="A24" s="165"/>
      <c r="B24" s="164"/>
      <c r="C24" s="164"/>
      <c r="D24" s="153" t="str">
        <f>"3100-0233-"&amp;MID(D23,11,2)</f>
        <v>3100-0233-10</v>
      </c>
      <c r="E24" s="164"/>
      <c r="F24" s="33" t="str">
        <f>A17</f>
        <v>CB06-1</v>
      </c>
      <c r="G24" s="33" t="str">
        <f>E23</f>
        <v>ETHERNET</v>
      </c>
      <c r="H24" s="33" t="str">
        <f>C21</f>
        <v>J3</v>
      </c>
      <c r="I24" s="41">
        <v>1</v>
      </c>
      <c r="L24" s="150"/>
      <c r="M24" s="159"/>
      <c r="N24" s="159"/>
      <c r="O24" s="153"/>
      <c r="P24" s="155"/>
      <c r="Q24" s="37" t="str">
        <f t="shared" si="14"/>
        <v>CB06-1</v>
      </c>
      <c r="R24" s="28" t="str">
        <f t="shared" si="15"/>
        <v>ETHERNET</v>
      </c>
      <c r="S24" s="29" t="str">
        <f t="shared" si="16"/>
        <v>J3</v>
      </c>
      <c r="T24" s="62" t="s">
        <v>55</v>
      </c>
      <c r="W24" s="115" t="str">
        <f t="shared" si="17"/>
        <v/>
      </c>
    </row>
    <row r="25" spans="1:23" ht="16.149999999999999" customHeight="1" x14ac:dyDescent="0.2">
      <c r="A25" s="165"/>
      <c r="B25" s="161" t="s">
        <v>3</v>
      </c>
      <c r="C25" s="157" t="str">
        <f>A17</f>
        <v>CB06-1</v>
      </c>
      <c r="D25" s="168" t="s">
        <v>32</v>
      </c>
      <c r="E25" s="161" t="s">
        <v>1</v>
      </c>
      <c r="F25" s="50" t="str">
        <f>A17</f>
        <v>CB06-1</v>
      </c>
      <c r="G25" s="50" t="str">
        <f>E25</f>
        <v>POWER</v>
      </c>
      <c r="H25" s="50" t="str">
        <f>B25</f>
        <v>J3</v>
      </c>
      <c r="I25" s="52">
        <v>1</v>
      </c>
      <c r="J25" s="3"/>
      <c r="L25" s="150"/>
      <c r="M25" s="157" t="str">
        <f>B25</f>
        <v>J3</v>
      </c>
      <c r="N25" s="157" t="str">
        <f>C25</f>
        <v>CB06-1</v>
      </c>
      <c r="O25" s="160" t="str">
        <f>D25</f>
        <v>3100-0234-07</v>
      </c>
      <c r="P25" s="156" t="str">
        <f>E25</f>
        <v>POWER</v>
      </c>
      <c r="Q25" s="36" t="str">
        <f t="shared" si="14"/>
        <v>CB06-1</v>
      </c>
      <c r="R25" s="34" t="str">
        <f t="shared" si="15"/>
        <v>POWER</v>
      </c>
      <c r="S25" s="35" t="str">
        <f t="shared" si="16"/>
        <v>J3</v>
      </c>
      <c r="T25" s="60" t="s">
        <v>59</v>
      </c>
      <c r="W25" s="115" t="str">
        <f t="shared" si="17"/>
        <v/>
      </c>
    </row>
    <row r="26" spans="1:23" ht="16.149999999999999" customHeight="1" x14ac:dyDescent="0.2">
      <c r="A26" s="165"/>
      <c r="B26" s="165"/>
      <c r="C26" s="158"/>
      <c r="D26" s="166"/>
      <c r="E26" s="162"/>
      <c r="F26" s="17" t="str">
        <f>A17</f>
        <v>CB06-1</v>
      </c>
      <c r="G26" s="17" t="str">
        <f>E25</f>
        <v>POWER</v>
      </c>
      <c r="H26" s="17" t="str">
        <f>C25</f>
        <v>CB06-1</v>
      </c>
      <c r="I26" s="48">
        <v>1</v>
      </c>
      <c r="J26" s="3"/>
      <c r="L26" s="150"/>
      <c r="M26" s="158"/>
      <c r="N26" s="158"/>
      <c r="O26" s="152"/>
      <c r="P26" s="154"/>
      <c r="Q26" s="31" t="str">
        <f t="shared" si="14"/>
        <v>CB06-1</v>
      </c>
      <c r="R26" s="26" t="str">
        <f t="shared" si="15"/>
        <v>POWER</v>
      </c>
      <c r="S26" s="27" t="str">
        <f t="shared" si="16"/>
        <v>CB06-1</v>
      </c>
      <c r="T26" s="61" t="s">
        <v>55</v>
      </c>
      <c r="W26" s="115" t="str">
        <f t="shared" si="17"/>
        <v/>
      </c>
    </row>
    <row r="27" spans="1:23" ht="16.149999999999999" customHeight="1" x14ac:dyDescent="0.2">
      <c r="A27" s="165"/>
      <c r="B27" s="165"/>
      <c r="C27" s="158"/>
      <c r="D27" s="152" t="str">
        <f>"3100-0233-"&amp;MID(D25,11,2)</f>
        <v>3100-0233-07</v>
      </c>
      <c r="E27" s="163" t="s">
        <v>28</v>
      </c>
      <c r="F27" s="17" t="str">
        <f>A17</f>
        <v>CB06-1</v>
      </c>
      <c r="G27" s="17" t="str">
        <f>E27</f>
        <v>ETHERNET</v>
      </c>
      <c r="H27" s="17" t="str">
        <f>B25</f>
        <v>J3</v>
      </c>
      <c r="I27" s="48">
        <v>1</v>
      </c>
      <c r="L27" s="150"/>
      <c r="M27" s="158"/>
      <c r="N27" s="158"/>
      <c r="O27" s="152" t="str">
        <f>D27</f>
        <v>3100-0233-07</v>
      </c>
      <c r="P27" s="154" t="str">
        <f>E27</f>
        <v>ETHERNET</v>
      </c>
      <c r="Q27" s="31" t="str">
        <f t="shared" si="14"/>
        <v>CB06-1</v>
      </c>
      <c r="R27" s="26" t="str">
        <f t="shared" si="15"/>
        <v>ETHERNET</v>
      </c>
      <c r="S27" s="27" t="str">
        <f t="shared" si="16"/>
        <v>J3</v>
      </c>
      <c r="T27" s="61" t="s">
        <v>59</v>
      </c>
      <c r="W27" s="115" t="str">
        <f t="shared" si="17"/>
        <v/>
      </c>
    </row>
    <row r="28" spans="1:23" ht="16.149999999999999" customHeight="1" thickBot="1" x14ac:dyDescent="0.25">
      <c r="A28" s="164"/>
      <c r="B28" s="164"/>
      <c r="C28" s="159"/>
      <c r="D28" s="153" t="str">
        <f>"3100-0233-"&amp;MID(D27,11,2)</f>
        <v>3100-0233-07</v>
      </c>
      <c r="E28" s="164"/>
      <c r="F28" s="33" t="str">
        <f>A17</f>
        <v>CB06-1</v>
      </c>
      <c r="G28" s="33" t="str">
        <f>E27</f>
        <v>ETHERNET</v>
      </c>
      <c r="H28" s="33" t="str">
        <f>C25</f>
        <v>CB06-1</v>
      </c>
      <c r="I28" s="41">
        <v>1</v>
      </c>
      <c r="L28" s="151"/>
      <c r="M28" s="159"/>
      <c r="N28" s="159"/>
      <c r="O28" s="153"/>
      <c r="P28" s="155"/>
      <c r="Q28" s="37" t="str">
        <f t="shared" si="14"/>
        <v>CB06-1</v>
      </c>
      <c r="R28" s="28" t="str">
        <f t="shared" si="15"/>
        <v>ETHERNET</v>
      </c>
      <c r="S28" s="29" t="str">
        <f t="shared" si="16"/>
        <v>CB06-1</v>
      </c>
      <c r="T28" s="62" t="s">
        <v>59</v>
      </c>
      <c r="W28" s="115" t="str">
        <f t="shared" si="17"/>
        <v/>
      </c>
    </row>
    <row r="29" spans="1:23" ht="16.149999999999999" customHeight="1" x14ac:dyDescent="0.2">
      <c r="A29" s="161" t="s">
        <v>139</v>
      </c>
      <c r="B29" s="161" t="s">
        <v>125</v>
      </c>
      <c r="C29" s="157" t="str">
        <f>A29</f>
        <v>CB-3</v>
      </c>
      <c r="D29" s="168" t="s">
        <v>196</v>
      </c>
      <c r="E29" s="161" t="s">
        <v>1</v>
      </c>
      <c r="F29" s="50" t="str">
        <f>A29</f>
        <v>CB-3</v>
      </c>
      <c r="G29" s="50" t="str">
        <f>E29</f>
        <v>POWER</v>
      </c>
      <c r="H29" s="50" t="str">
        <f>B29</f>
        <v>ENC</v>
      </c>
      <c r="I29" s="52">
        <v>1</v>
      </c>
      <c r="J29" s="3"/>
      <c r="L29" s="149" t="str">
        <f>A29</f>
        <v>CB-3</v>
      </c>
      <c r="M29" s="157" t="str">
        <f>B29</f>
        <v>ENC</v>
      </c>
      <c r="N29" s="157" t="str">
        <f>C29</f>
        <v>CB-3</v>
      </c>
      <c r="O29" s="160" t="str">
        <f>D29</f>
        <v>3100-0234-35</v>
      </c>
      <c r="P29" s="156" t="str">
        <f>E29</f>
        <v>POWER</v>
      </c>
      <c r="Q29" s="36" t="str">
        <f t="shared" si="14"/>
        <v>CB-3</v>
      </c>
      <c r="R29" s="34" t="str">
        <f t="shared" si="15"/>
        <v>POWER</v>
      </c>
      <c r="S29" s="35" t="str">
        <f t="shared" si="16"/>
        <v>ENC</v>
      </c>
      <c r="T29" s="60" t="s">
        <v>59</v>
      </c>
      <c r="W29" s="115" t="str">
        <f t="shared" si="17"/>
        <v>CB-3</v>
      </c>
    </row>
    <row r="30" spans="1:23" ht="16.149999999999999" customHeight="1" x14ac:dyDescent="0.2">
      <c r="A30" s="165"/>
      <c r="B30" s="165"/>
      <c r="C30" s="158"/>
      <c r="D30" s="166"/>
      <c r="E30" s="162"/>
      <c r="F30" s="17" t="str">
        <f>A29</f>
        <v>CB-3</v>
      </c>
      <c r="G30" s="17" t="str">
        <f>E29</f>
        <v>POWER</v>
      </c>
      <c r="H30" s="17" t="str">
        <f>C29</f>
        <v>CB-3</v>
      </c>
      <c r="I30" s="48">
        <v>1</v>
      </c>
      <c r="J30" s="3"/>
      <c r="L30" s="150"/>
      <c r="M30" s="158"/>
      <c r="N30" s="158"/>
      <c r="O30" s="152"/>
      <c r="P30" s="154"/>
      <c r="Q30" s="31" t="str">
        <f t="shared" si="14"/>
        <v>CB-3</v>
      </c>
      <c r="R30" s="26" t="str">
        <f t="shared" si="15"/>
        <v>POWER</v>
      </c>
      <c r="S30" s="27" t="str">
        <f t="shared" si="16"/>
        <v>CB-3</v>
      </c>
      <c r="T30" s="61" t="s">
        <v>55</v>
      </c>
      <c r="W30" s="115" t="str">
        <f t="shared" si="17"/>
        <v/>
      </c>
    </row>
    <row r="31" spans="1:23" ht="16.149999999999999" customHeight="1" x14ac:dyDescent="0.2">
      <c r="A31" s="165"/>
      <c r="B31" s="165"/>
      <c r="C31" s="158"/>
      <c r="D31" s="152" t="str">
        <f>"3100-0233-"&amp;MID(D29,11,2)</f>
        <v>3100-0233-35</v>
      </c>
      <c r="E31" s="163" t="s">
        <v>28</v>
      </c>
      <c r="F31" s="17" t="str">
        <f>A29</f>
        <v>CB-3</v>
      </c>
      <c r="G31" s="17" t="str">
        <f>E31</f>
        <v>ETHERNET</v>
      </c>
      <c r="H31" s="17" t="str">
        <f>B29</f>
        <v>ENC</v>
      </c>
      <c r="I31" s="48">
        <v>1</v>
      </c>
      <c r="L31" s="150"/>
      <c r="M31" s="158"/>
      <c r="N31" s="158"/>
      <c r="O31" s="152" t="str">
        <f>D31</f>
        <v>3100-0233-35</v>
      </c>
      <c r="P31" s="154" t="str">
        <f>E31</f>
        <v>ETHERNET</v>
      </c>
      <c r="Q31" s="31" t="str">
        <f t="shared" si="14"/>
        <v>CB-3</v>
      </c>
      <c r="R31" s="26" t="str">
        <f t="shared" si="15"/>
        <v>ETHERNET</v>
      </c>
      <c r="S31" s="27" t="str">
        <f t="shared" si="16"/>
        <v>ENC</v>
      </c>
      <c r="T31" s="61" t="s">
        <v>59</v>
      </c>
      <c r="W31" s="115" t="str">
        <f t="shared" si="17"/>
        <v/>
      </c>
    </row>
    <row r="32" spans="1:23" ht="16.149999999999999" customHeight="1" thickBot="1" x14ac:dyDescent="0.25">
      <c r="A32" s="164"/>
      <c r="B32" s="164"/>
      <c r="C32" s="159"/>
      <c r="D32" s="153" t="str">
        <f>"3100-0233-"&amp;MID(D31,11,2)</f>
        <v>3100-0233-35</v>
      </c>
      <c r="E32" s="164"/>
      <c r="F32" s="33" t="str">
        <f>A29</f>
        <v>CB-3</v>
      </c>
      <c r="G32" s="33" t="str">
        <f>E31</f>
        <v>ETHERNET</v>
      </c>
      <c r="H32" s="33" t="str">
        <f>C29</f>
        <v>CB-3</v>
      </c>
      <c r="I32" s="41">
        <v>1</v>
      </c>
      <c r="L32" s="151"/>
      <c r="M32" s="159"/>
      <c r="N32" s="159"/>
      <c r="O32" s="153"/>
      <c r="P32" s="155"/>
      <c r="Q32" s="37" t="str">
        <f t="shared" si="14"/>
        <v>CB-3</v>
      </c>
      <c r="R32" s="28" t="str">
        <f t="shared" si="15"/>
        <v>ETHERNET</v>
      </c>
      <c r="S32" s="29" t="str">
        <f t="shared" si="16"/>
        <v>CB-3</v>
      </c>
      <c r="T32" s="62" t="s">
        <v>59</v>
      </c>
      <c r="W32" s="115" t="str">
        <f t="shared" si="17"/>
        <v/>
      </c>
    </row>
    <row r="33" spans="1:23" ht="16.149999999999999" customHeight="1" x14ac:dyDescent="0.2">
      <c r="A33" s="161" t="s">
        <v>140</v>
      </c>
      <c r="B33" s="161" t="s">
        <v>125</v>
      </c>
      <c r="C33" s="157" t="str">
        <f>A33</f>
        <v>CB-4</v>
      </c>
      <c r="D33" s="168" t="s">
        <v>197</v>
      </c>
      <c r="E33" s="161" t="s">
        <v>1</v>
      </c>
      <c r="F33" s="50" t="str">
        <f>A33</f>
        <v>CB-4</v>
      </c>
      <c r="G33" s="50" t="str">
        <f>E33</f>
        <v>POWER</v>
      </c>
      <c r="H33" s="50" t="str">
        <f>B33</f>
        <v>ENC</v>
      </c>
      <c r="I33" s="52">
        <v>1</v>
      </c>
      <c r="J33" s="3"/>
      <c r="L33" s="149" t="str">
        <f>A33</f>
        <v>CB-4</v>
      </c>
      <c r="M33" s="157" t="str">
        <f>B33</f>
        <v>ENC</v>
      </c>
      <c r="N33" s="157" t="str">
        <f>C33</f>
        <v>CB-4</v>
      </c>
      <c r="O33" s="160" t="str">
        <f>D33</f>
        <v>3100-0234-25</v>
      </c>
      <c r="P33" s="156" t="str">
        <f>E33</f>
        <v>POWER</v>
      </c>
      <c r="Q33" s="36" t="str">
        <f t="shared" si="14"/>
        <v>CB-4</v>
      </c>
      <c r="R33" s="34" t="str">
        <f t="shared" si="15"/>
        <v>POWER</v>
      </c>
      <c r="S33" s="35" t="str">
        <f t="shared" si="16"/>
        <v>ENC</v>
      </c>
      <c r="T33" s="60" t="s">
        <v>59</v>
      </c>
      <c r="W33" s="115" t="str">
        <f t="shared" si="17"/>
        <v>CB-4</v>
      </c>
    </row>
    <row r="34" spans="1:23" ht="16.149999999999999" customHeight="1" x14ac:dyDescent="0.2">
      <c r="A34" s="165"/>
      <c r="B34" s="165"/>
      <c r="C34" s="158"/>
      <c r="D34" s="166"/>
      <c r="E34" s="162"/>
      <c r="F34" s="17" t="str">
        <f>A33</f>
        <v>CB-4</v>
      </c>
      <c r="G34" s="17" t="str">
        <f>E33</f>
        <v>POWER</v>
      </c>
      <c r="H34" s="17" t="str">
        <f>C33</f>
        <v>CB-4</v>
      </c>
      <c r="I34" s="48">
        <v>1</v>
      </c>
      <c r="J34" s="3"/>
      <c r="L34" s="150"/>
      <c r="M34" s="158"/>
      <c r="N34" s="158"/>
      <c r="O34" s="152"/>
      <c r="P34" s="154"/>
      <c r="Q34" s="31" t="str">
        <f t="shared" si="14"/>
        <v>CB-4</v>
      </c>
      <c r="R34" s="26" t="str">
        <f t="shared" si="15"/>
        <v>POWER</v>
      </c>
      <c r="S34" s="27" t="str">
        <f t="shared" si="16"/>
        <v>CB-4</v>
      </c>
      <c r="T34" s="61" t="s">
        <v>55</v>
      </c>
      <c r="W34" s="115" t="str">
        <f t="shared" si="17"/>
        <v/>
      </c>
    </row>
    <row r="35" spans="1:23" ht="16.149999999999999" customHeight="1" x14ac:dyDescent="0.2">
      <c r="A35" s="165"/>
      <c r="B35" s="165"/>
      <c r="C35" s="158"/>
      <c r="D35" s="152" t="str">
        <f>"3100-0233-"&amp;MID(D33,11,2)</f>
        <v>3100-0233-25</v>
      </c>
      <c r="E35" s="163" t="s">
        <v>28</v>
      </c>
      <c r="F35" s="17" t="str">
        <f>A33</f>
        <v>CB-4</v>
      </c>
      <c r="G35" s="17" t="str">
        <f>E35</f>
        <v>ETHERNET</v>
      </c>
      <c r="H35" s="17" t="str">
        <f>B33</f>
        <v>ENC</v>
      </c>
      <c r="I35" s="48">
        <v>1</v>
      </c>
      <c r="L35" s="150"/>
      <c r="M35" s="158"/>
      <c r="N35" s="158"/>
      <c r="O35" s="152" t="str">
        <f>D35</f>
        <v>3100-0233-25</v>
      </c>
      <c r="P35" s="154" t="str">
        <f>E35</f>
        <v>ETHERNET</v>
      </c>
      <c r="Q35" s="31" t="str">
        <f t="shared" si="14"/>
        <v>CB-4</v>
      </c>
      <c r="R35" s="26" t="str">
        <f t="shared" si="15"/>
        <v>ETHERNET</v>
      </c>
      <c r="S35" s="27" t="str">
        <f t="shared" si="16"/>
        <v>ENC</v>
      </c>
      <c r="T35" s="61" t="s">
        <v>59</v>
      </c>
      <c r="W35" s="115" t="str">
        <f t="shared" si="17"/>
        <v/>
      </c>
    </row>
    <row r="36" spans="1:23" ht="16.149999999999999" customHeight="1" thickBot="1" x14ac:dyDescent="0.25">
      <c r="A36" s="164"/>
      <c r="B36" s="164"/>
      <c r="C36" s="159"/>
      <c r="D36" s="153" t="str">
        <f>"3100-0233-"&amp;MID(D35,11,2)</f>
        <v>3100-0233-25</v>
      </c>
      <c r="E36" s="164"/>
      <c r="F36" s="33" t="str">
        <f>A33</f>
        <v>CB-4</v>
      </c>
      <c r="G36" s="33" t="str">
        <f>E35</f>
        <v>ETHERNET</v>
      </c>
      <c r="H36" s="33" t="str">
        <f>C33</f>
        <v>CB-4</v>
      </c>
      <c r="I36" s="41">
        <v>1</v>
      </c>
      <c r="L36" s="151"/>
      <c r="M36" s="159"/>
      <c r="N36" s="159"/>
      <c r="O36" s="153"/>
      <c r="P36" s="155"/>
      <c r="Q36" s="37" t="str">
        <f t="shared" si="14"/>
        <v>CB-4</v>
      </c>
      <c r="R36" s="28" t="str">
        <f t="shared" si="15"/>
        <v>ETHERNET</v>
      </c>
      <c r="S36" s="29" t="str">
        <f t="shared" si="16"/>
        <v>CB-4</v>
      </c>
      <c r="T36" s="62" t="s">
        <v>59</v>
      </c>
      <c r="W36" s="115" t="str">
        <f t="shared" si="17"/>
        <v/>
      </c>
    </row>
    <row r="37" spans="1:23" ht="16.149999999999999" customHeight="1" x14ac:dyDescent="0.2">
      <c r="A37" s="161" t="s">
        <v>182</v>
      </c>
      <c r="B37" s="161" t="s">
        <v>125</v>
      </c>
      <c r="C37" s="157" t="str">
        <f>A37</f>
        <v>CB-1</v>
      </c>
      <c r="D37" s="168" t="s">
        <v>196</v>
      </c>
      <c r="E37" s="161" t="s">
        <v>1</v>
      </c>
      <c r="F37" s="50" t="str">
        <f>A37</f>
        <v>CB-1</v>
      </c>
      <c r="G37" s="50" t="str">
        <f>E37</f>
        <v>POWER</v>
      </c>
      <c r="H37" s="50" t="str">
        <f>B37</f>
        <v>ENC</v>
      </c>
      <c r="I37" s="52">
        <v>1</v>
      </c>
      <c r="J37" s="3"/>
      <c r="L37" s="149" t="str">
        <f>A37</f>
        <v>CB-1</v>
      </c>
      <c r="M37" s="157" t="str">
        <f>B37</f>
        <v>ENC</v>
      </c>
      <c r="N37" s="157" t="str">
        <f>C37</f>
        <v>CB-1</v>
      </c>
      <c r="O37" s="160" t="str">
        <f>D37</f>
        <v>3100-0234-35</v>
      </c>
      <c r="P37" s="156" t="str">
        <f>E37</f>
        <v>POWER</v>
      </c>
      <c r="Q37" s="36" t="str">
        <f t="shared" si="14"/>
        <v>CB-1</v>
      </c>
      <c r="R37" s="34" t="str">
        <f t="shared" si="15"/>
        <v>POWER</v>
      </c>
      <c r="S37" s="35" t="str">
        <f t="shared" si="16"/>
        <v>ENC</v>
      </c>
      <c r="T37" s="60" t="s">
        <v>59</v>
      </c>
      <c r="W37" s="115" t="str">
        <f t="shared" si="17"/>
        <v>CB-1</v>
      </c>
    </row>
    <row r="38" spans="1:23" ht="16.149999999999999" customHeight="1" x14ac:dyDescent="0.2">
      <c r="A38" s="165"/>
      <c r="B38" s="165"/>
      <c r="C38" s="158"/>
      <c r="D38" s="166"/>
      <c r="E38" s="162"/>
      <c r="F38" s="17" t="str">
        <f>A37</f>
        <v>CB-1</v>
      </c>
      <c r="G38" s="17" t="str">
        <f>E37</f>
        <v>POWER</v>
      </c>
      <c r="H38" s="17" t="str">
        <f>C37</f>
        <v>CB-1</v>
      </c>
      <c r="I38" s="48">
        <v>1</v>
      </c>
      <c r="J38" s="3"/>
      <c r="L38" s="150"/>
      <c r="M38" s="158"/>
      <c r="N38" s="158"/>
      <c r="O38" s="152"/>
      <c r="P38" s="154"/>
      <c r="Q38" s="31" t="str">
        <f t="shared" si="14"/>
        <v>CB-1</v>
      </c>
      <c r="R38" s="26" t="str">
        <f t="shared" si="15"/>
        <v>POWER</v>
      </c>
      <c r="S38" s="27" t="str">
        <f t="shared" si="16"/>
        <v>CB-1</v>
      </c>
      <c r="T38" s="61" t="s">
        <v>55</v>
      </c>
      <c r="W38" s="115" t="str">
        <f t="shared" si="17"/>
        <v/>
      </c>
    </row>
    <row r="39" spans="1:23" ht="16.149999999999999" customHeight="1" x14ac:dyDescent="0.2">
      <c r="A39" s="165"/>
      <c r="B39" s="165"/>
      <c r="C39" s="158"/>
      <c r="D39" s="152" t="str">
        <f>"3100-0233-"&amp;MID(D37,11,2)</f>
        <v>3100-0233-35</v>
      </c>
      <c r="E39" s="163" t="s">
        <v>28</v>
      </c>
      <c r="F39" s="17" t="str">
        <f>A37</f>
        <v>CB-1</v>
      </c>
      <c r="G39" s="17" t="str">
        <f>E39</f>
        <v>ETHERNET</v>
      </c>
      <c r="H39" s="17" t="str">
        <f>B37</f>
        <v>ENC</v>
      </c>
      <c r="I39" s="48">
        <v>1</v>
      </c>
      <c r="L39" s="150"/>
      <c r="M39" s="158"/>
      <c r="N39" s="158"/>
      <c r="O39" s="152" t="str">
        <f>D39</f>
        <v>3100-0233-35</v>
      </c>
      <c r="P39" s="154" t="str">
        <f>E39</f>
        <v>ETHERNET</v>
      </c>
      <c r="Q39" s="31" t="str">
        <f t="shared" si="14"/>
        <v>CB-1</v>
      </c>
      <c r="R39" s="26" t="str">
        <f t="shared" si="15"/>
        <v>ETHERNET</v>
      </c>
      <c r="S39" s="27" t="str">
        <f t="shared" si="16"/>
        <v>ENC</v>
      </c>
      <c r="T39" s="61" t="s">
        <v>59</v>
      </c>
      <c r="W39" s="115" t="str">
        <f t="shared" si="17"/>
        <v/>
      </c>
    </row>
    <row r="40" spans="1:23" ht="16.149999999999999" customHeight="1" thickBot="1" x14ac:dyDescent="0.25">
      <c r="A40" s="164"/>
      <c r="B40" s="164"/>
      <c r="C40" s="159"/>
      <c r="D40" s="153" t="str">
        <f>"3100-0233-"&amp;MID(D39,11,2)</f>
        <v>3100-0233-35</v>
      </c>
      <c r="E40" s="164"/>
      <c r="F40" s="33" t="str">
        <f>A37</f>
        <v>CB-1</v>
      </c>
      <c r="G40" s="33" t="str">
        <f>E39</f>
        <v>ETHERNET</v>
      </c>
      <c r="H40" s="33" t="str">
        <f>C37</f>
        <v>CB-1</v>
      </c>
      <c r="I40" s="41">
        <v>1</v>
      </c>
      <c r="L40" s="151"/>
      <c r="M40" s="159"/>
      <c r="N40" s="159"/>
      <c r="O40" s="153"/>
      <c r="P40" s="155"/>
      <c r="Q40" s="37" t="str">
        <f t="shared" si="14"/>
        <v>CB-1</v>
      </c>
      <c r="R40" s="28" t="str">
        <f t="shared" si="15"/>
        <v>ETHERNET</v>
      </c>
      <c r="S40" s="29" t="str">
        <f t="shared" si="16"/>
        <v>CB-1</v>
      </c>
      <c r="T40" s="62" t="s">
        <v>59</v>
      </c>
      <c r="W40" s="115" t="str">
        <f t="shared" si="17"/>
        <v/>
      </c>
    </row>
    <row r="41" spans="1:23" ht="16.149999999999999" customHeight="1" x14ac:dyDescent="0.2">
      <c r="A41" s="161" t="s">
        <v>138</v>
      </c>
      <c r="B41" s="161" t="s">
        <v>125</v>
      </c>
      <c r="C41" s="157" t="str">
        <f>A41</f>
        <v>CB-2</v>
      </c>
      <c r="D41" s="168" t="s">
        <v>197</v>
      </c>
      <c r="E41" s="161" t="s">
        <v>1</v>
      </c>
      <c r="F41" s="50" t="str">
        <f>A41</f>
        <v>CB-2</v>
      </c>
      <c r="G41" s="50" t="str">
        <f>E41</f>
        <v>POWER</v>
      </c>
      <c r="H41" s="50" t="str">
        <f>B41</f>
        <v>ENC</v>
      </c>
      <c r="I41" s="52">
        <v>1</v>
      </c>
      <c r="J41" s="3"/>
      <c r="L41" s="149" t="str">
        <f>A41</f>
        <v>CB-2</v>
      </c>
      <c r="M41" s="157" t="str">
        <f>B41</f>
        <v>ENC</v>
      </c>
      <c r="N41" s="157" t="str">
        <f>C41</f>
        <v>CB-2</v>
      </c>
      <c r="O41" s="160" t="str">
        <f>D41</f>
        <v>3100-0234-25</v>
      </c>
      <c r="P41" s="156" t="str">
        <f>E41</f>
        <v>POWER</v>
      </c>
      <c r="Q41" s="36" t="str">
        <f t="shared" si="14"/>
        <v>CB-2</v>
      </c>
      <c r="R41" s="34" t="str">
        <f t="shared" si="15"/>
        <v>POWER</v>
      </c>
      <c r="S41" s="35" t="str">
        <f t="shared" si="16"/>
        <v>ENC</v>
      </c>
      <c r="T41" s="60" t="s">
        <v>59</v>
      </c>
      <c r="W41" s="115" t="str">
        <f t="shared" si="17"/>
        <v>CB-2</v>
      </c>
    </row>
    <row r="42" spans="1:23" ht="16.149999999999999" customHeight="1" x14ac:dyDescent="0.2">
      <c r="A42" s="165"/>
      <c r="B42" s="165"/>
      <c r="C42" s="158"/>
      <c r="D42" s="166"/>
      <c r="E42" s="162"/>
      <c r="F42" s="17" t="str">
        <f>A41</f>
        <v>CB-2</v>
      </c>
      <c r="G42" s="17" t="str">
        <f>E41</f>
        <v>POWER</v>
      </c>
      <c r="H42" s="17" t="str">
        <f>C41</f>
        <v>CB-2</v>
      </c>
      <c r="I42" s="48">
        <v>1</v>
      </c>
      <c r="J42" s="3"/>
      <c r="L42" s="150"/>
      <c r="M42" s="158"/>
      <c r="N42" s="158"/>
      <c r="O42" s="152"/>
      <c r="P42" s="154"/>
      <c r="Q42" s="31" t="str">
        <f t="shared" si="14"/>
        <v>CB-2</v>
      </c>
      <c r="R42" s="26" t="str">
        <f t="shared" si="15"/>
        <v>POWER</v>
      </c>
      <c r="S42" s="27" t="str">
        <f t="shared" si="16"/>
        <v>CB-2</v>
      </c>
      <c r="T42" s="61" t="s">
        <v>55</v>
      </c>
      <c r="W42" s="115" t="str">
        <f t="shared" si="17"/>
        <v/>
      </c>
    </row>
    <row r="43" spans="1:23" ht="16.149999999999999" customHeight="1" x14ac:dyDescent="0.2">
      <c r="A43" s="165"/>
      <c r="B43" s="165"/>
      <c r="C43" s="158"/>
      <c r="D43" s="152" t="str">
        <f>"3100-0233-"&amp;MID(D41,11,2)</f>
        <v>3100-0233-25</v>
      </c>
      <c r="E43" s="163" t="s">
        <v>28</v>
      </c>
      <c r="F43" s="17" t="str">
        <f>A41</f>
        <v>CB-2</v>
      </c>
      <c r="G43" s="17" t="str">
        <f>E43</f>
        <v>ETHERNET</v>
      </c>
      <c r="H43" s="17" t="str">
        <f>B41</f>
        <v>ENC</v>
      </c>
      <c r="I43" s="48">
        <v>1</v>
      </c>
      <c r="L43" s="150"/>
      <c r="M43" s="158"/>
      <c r="N43" s="158"/>
      <c r="O43" s="152" t="str">
        <f>D43</f>
        <v>3100-0233-25</v>
      </c>
      <c r="P43" s="154" t="str">
        <f>E43</f>
        <v>ETHERNET</v>
      </c>
      <c r="Q43" s="31" t="str">
        <f t="shared" si="14"/>
        <v>CB-2</v>
      </c>
      <c r="R43" s="26" t="str">
        <f t="shared" si="15"/>
        <v>ETHERNET</v>
      </c>
      <c r="S43" s="27" t="str">
        <f t="shared" si="16"/>
        <v>ENC</v>
      </c>
      <c r="T43" s="61" t="s">
        <v>59</v>
      </c>
      <c r="W43" s="115" t="str">
        <f t="shared" si="17"/>
        <v/>
      </c>
    </row>
    <row r="44" spans="1:23" ht="16.149999999999999" customHeight="1" thickBot="1" x14ac:dyDescent="0.25">
      <c r="A44" s="164"/>
      <c r="B44" s="164"/>
      <c r="C44" s="159"/>
      <c r="D44" s="153" t="str">
        <f>"3100-0233-"&amp;MID(D43,11,2)</f>
        <v>3100-0233-25</v>
      </c>
      <c r="E44" s="164"/>
      <c r="F44" s="33" t="str">
        <f>A41</f>
        <v>CB-2</v>
      </c>
      <c r="G44" s="33" t="str">
        <f>E43</f>
        <v>ETHERNET</v>
      </c>
      <c r="H44" s="33" t="str">
        <f>C41</f>
        <v>CB-2</v>
      </c>
      <c r="I44" s="41">
        <v>1</v>
      </c>
      <c r="L44" s="151"/>
      <c r="M44" s="159"/>
      <c r="N44" s="159"/>
      <c r="O44" s="153"/>
      <c r="P44" s="155"/>
      <c r="Q44" s="37" t="str">
        <f t="shared" si="14"/>
        <v>CB-2</v>
      </c>
      <c r="R44" s="28" t="str">
        <f t="shared" si="15"/>
        <v>ETHERNET</v>
      </c>
      <c r="S44" s="29" t="str">
        <f t="shared" si="16"/>
        <v>CB-2</v>
      </c>
      <c r="T44" s="62" t="s">
        <v>59</v>
      </c>
      <c r="W44" s="115" t="str">
        <f t="shared" si="17"/>
        <v/>
      </c>
    </row>
    <row r="45" spans="1:23" ht="16.149999999999999" customHeight="1" x14ac:dyDescent="0.2">
      <c r="A45" s="161" t="s">
        <v>145</v>
      </c>
      <c r="B45" s="161" t="s">
        <v>125</v>
      </c>
      <c r="C45" s="157" t="str">
        <f>A45</f>
        <v>RM-1</v>
      </c>
      <c r="D45" s="168" t="s">
        <v>198</v>
      </c>
      <c r="E45" s="161" t="s">
        <v>1</v>
      </c>
      <c r="F45" s="50" t="str">
        <f>A45</f>
        <v>RM-1</v>
      </c>
      <c r="G45" s="50" t="str">
        <f>E45</f>
        <v>POWER</v>
      </c>
      <c r="H45" s="50" t="str">
        <f>B45</f>
        <v>ENC</v>
      </c>
      <c r="I45" s="52">
        <v>1</v>
      </c>
      <c r="J45" s="3"/>
      <c r="L45" s="149" t="str">
        <f>A45</f>
        <v>RM-1</v>
      </c>
      <c r="M45" s="157" t="str">
        <f>B45</f>
        <v>ENC</v>
      </c>
      <c r="N45" s="157" t="str">
        <f>C45</f>
        <v>RM-1</v>
      </c>
      <c r="O45" s="160" t="str">
        <f>D45</f>
        <v>3100-0189M-35</v>
      </c>
      <c r="P45" s="156" t="str">
        <f>E45</f>
        <v>POWER</v>
      </c>
      <c r="Q45" s="36" t="str">
        <f t="shared" si="14"/>
        <v>RM-1</v>
      </c>
      <c r="R45" s="34" t="str">
        <f t="shared" si="15"/>
        <v>POWER</v>
      </c>
      <c r="S45" s="35" t="str">
        <f t="shared" si="16"/>
        <v>ENC</v>
      </c>
      <c r="T45" s="60" t="s">
        <v>59</v>
      </c>
      <c r="W45" s="115" t="str">
        <f t="shared" si="17"/>
        <v>RM-1</v>
      </c>
    </row>
    <row r="46" spans="1:23" ht="16.149999999999999" customHeight="1" x14ac:dyDescent="0.2">
      <c r="A46" s="165"/>
      <c r="B46" s="165"/>
      <c r="C46" s="158"/>
      <c r="D46" s="166"/>
      <c r="E46" s="162"/>
      <c r="F46" s="17" t="str">
        <f>A45</f>
        <v>RM-1</v>
      </c>
      <c r="G46" s="17" t="str">
        <f>E45</f>
        <v>POWER</v>
      </c>
      <c r="H46" s="17" t="str">
        <f>C45</f>
        <v>RM-1</v>
      </c>
      <c r="I46" s="48">
        <v>1</v>
      </c>
      <c r="J46" s="3"/>
      <c r="L46" s="150"/>
      <c r="M46" s="158"/>
      <c r="N46" s="158"/>
      <c r="O46" s="152"/>
      <c r="P46" s="154"/>
      <c r="Q46" s="31" t="str">
        <f t="shared" si="14"/>
        <v>RM-1</v>
      </c>
      <c r="R46" s="26" t="str">
        <f t="shared" si="15"/>
        <v>POWER</v>
      </c>
      <c r="S46" s="27" t="str">
        <f t="shared" si="16"/>
        <v>RM-1</v>
      </c>
      <c r="T46" s="61" t="s">
        <v>55</v>
      </c>
      <c r="W46" s="115" t="str">
        <f t="shared" si="17"/>
        <v/>
      </c>
    </row>
    <row r="47" spans="1:23" ht="16.149999999999999" customHeight="1" x14ac:dyDescent="0.2">
      <c r="A47" s="165"/>
      <c r="B47" s="165"/>
      <c r="C47" s="158"/>
      <c r="D47" s="152" t="str">
        <f>"3100-0276V"&amp;MID(D45,11,3)</f>
        <v>3100-0276V-35</v>
      </c>
      <c r="E47" s="163" t="s">
        <v>24</v>
      </c>
      <c r="F47" s="17" t="str">
        <f>A45</f>
        <v>RM-1</v>
      </c>
      <c r="G47" s="17" t="str">
        <f>E47</f>
        <v>VIDEO</v>
      </c>
      <c r="H47" s="17" t="str">
        <f>B45</f>
        <v>ENC</v>
      </c>
      <c r="I47" s="48">
        <v>1</v>
      </c>
      <c r="L47" s="150"/>
      <c r="M47" s="158"/>
      <c r="N47" s="158"/>
      <c r="O47" s="152" t="str">
        <f>D47</f>
        <v>3100-0276V-35</v>
      </c>
      <c r="P47" s="154" t="str">
        <f>E47</f>
        <v>VIDEO</v>
      </c>
      <c r="Q47" s="31" t="str">
        <f t="shared" si="14"/>
        <v>RM-1</v>
      </c>
      <c r="R47" s="26" t="str">
        <f t="shared" si="15"/>
        <v>VIDEO</v>
      </c>
      <c r="S47" s="27" t="str">
        <f t="shared" si="16"/>
        <v>ENC</v>
      </c>
      <c r="T47" s="61" t="s">
        <v>128</v>
      </c>
      <c r="W47" s="115" t="str">
        <f t="shared" si="17"/>
        <v/>
      </c>
    </row>
    <row r="48" spans="1:23" ht="16.149999999999999" customHeight="1" thickBot="1" x14ac:dyDescent="0.25">
      <c r="A48" s="164"/>
      <c r="B48" s="164"/>
      <c r="C48" s="159"/>
      <c r="D48" s="153" t="str">
        <f>"3100-0233-"&amp;MID(D47,11,2)</f>
        <v>3100-0233--3</v>
      </c>
      <c r="E48" s="164"/>
      <c r="F48" s="33" t="str">
        <f>A45</f>
        <v>RM-1</v>
      </c>
      <c r="G48" s="33" t="str">
        <f>E47</f>
        <v>VIDEO</v>
      </c>
      <c r="H48" s="33" t="str">
        <f>C45</f>
        <v>RM-1</v>
      </c>
      <c r="I48" s="41">
        <v>1</v>
      </c>
      <c r="L48" s="151"/>
      <c r="M48" s="159"/>
      <c r="N48" s="159"/>
      <c r="O48" s="153"/>
      <c r="P48" s="155"/>
      <c r="Q48" s="37" t="str">
        <f t="shared" si="14"/>
        <v>RM-1</v>
      </c>
      <c r="R48" s="28" t="str">
        <f t="shared" si="15"/>
        <v>VIDEO</v>
      </c>
      <c r="S48" s="29" t="str">
        <f t="shared" si="16"/>
        <v>RM-1</v>
      </c>
      <c r="T48" s="62" t="s">
        <v>129</v>
      </c>
      <c r="W48" s="115" t="str">
        <f t="shared" si="17"/>
        <v/>
      </c>
    </row>
    <row r="49" spans="1:23" ht="16.149999999999999" customHeight="1" x14ac:dyDescent="0.2">
      <c r="A49" s="161" t="s">
        <v>146</v>
      </c>
      <c r="B49" s="161" t="s">
        <v>125</v>
      </c>
      <c r="C49" s="157" t="str">
        <f>A49</f>
        <v>RM-2</v>
      </c>
      <c r="D49" s="168" t="s">
        <v>199</v>
      </c>
      <c r="E49" s="161" t="s">
        <v>1</v>
      </c>
      <c r="F49" s="50" t="str">
        <f>A49</f>
        <v>RM-2</v>
      </c>
      <c r="G49" s="50" t="str">
        <f>E49</f>
        <v>POWER</v>
      </c>
      <c r="H49" s="50" t="str">
        <f>B49</f>
        <v>ENC</v>
      </c>
      <c r="I49" s="52">
        <v>1</v>
      </c>
      <c r="J49" s="3"/>
      <c r="L49" s="149" t="str">
        <f>A49</f>
        <v>RM-2</v>
      </c>
      <c r="M49" s="157" t="str">
        <f>B49</f>
        <v>ENC</v>
      </c>
      <c r="N49" s="157" t="str">
        <f>C49</f>
        <v>RM-2</v>
      </c>
      <c r="O49" s="160" t="str">
        <f>D49</f>
        <v>3100-189M-25</v>
      </c>
      <c r="P49" s="156" t="str">
        <f>E49</f>
        <v>POWER</v>
      </c>
      <c r="Q49" s="36" t="str">
        <f t="shared" si="14"/>
        <v>RM-2</v>
      </c>
      <c r="R49" s="34" t="str">
        <f t="shared" si="15"/>
        <v>POWER</v>
      </c>
      <c r="S49" s="35" t="str">
        <f t="shared" si="16"/>
        <v>ENC</v>
      </c>
      <c r="T49" s="60" t="s">
        <v>59</v>
      </c>
      <c r="W49" s="115" t="str">
        <f t="shared" si="17"/>
        <v>RM-2</v>
      </c>
    </row>
    <row r="50" spans="1:23" ht="16.149999999999999" customHeight="1" x14ac:dyDescent="0.2">
      <c r="A50" s="165"/>
      <c r="B50" s="165"/>
      <c r="C50" s="158"/>
      <c r="D50" s="166"/>
      <c r="E50" s="162"/>
      <c r="F50" s="17" t="str">
        <f>A49</f>
        <v>RM-2</v>
      </c>
      <c r="G50" s="17" t="str">
        <f>E49</f>
        <v>POWER</v>
      </c>
      <c r="H50" s="17" t="str">
        <f>C49</f>
        <v>RM-2</v>
      </c>
      <c r="I50" s="48">
        <v>1</v>
      </c>
      <c r="J50" s="3"/>
      <c r="L50" s="150"/>
      <c r="M50" s="158"/>
      <c r="N50" s="158"/>
      <c r="O50" s="152"/>
      <c r="P50" s="154"/>
      <c r="Q50" s="31" t="str">
        <f t="shared" si="14"/>
        <v>RM-2</v>
      </c>
      <c r="R50" s="26" t="str">
        <f t="shared" si="15"/>
        <v>POWER</v>
      </c>
      <c r="S50" s="27" t="str">
        <f t="shared" si="16"/>
        <v>RM-2</v>
      </c>
      <c r="T50" s="61" t="s">
        <v>55</v>
      </c>
      <c r="W50" s="115" t="str">
        <f t="shared" si="17"/>
        <v/>
      </c>
    </row>
    <row r="51" spans="1:23" ht="16.149999999999999" customHeight="1" x14ac:dyDescent="0.2">
      <c r="A51" s="165"/>
      <c r="B51" s="165"/>
      <c r="C51" s="158"/>
      <c r="D51" s="152" t="str">
        <f>"3100-0276V"&amp;MID(D49,11,3)</f>
        <v>3100-0276V25</v>
      </c>
      <c r="E51" s="163" t="s">
        <v>24</v>
      </c>
      <c r="F51" s="17" t="str">
        <f>A49</f>
        <v>RM-2</v>
      </c>
      <c r="G51" s="17" t="str">
        <f>E51</f>
        <v>VIDEO</v>
      </c>
      <c r="H51" s="17" t="str">
        <f>B49</f>
        <v>ENC</v>
      </c>
      <c r="I51" s="48">
        <v>1</v>
      </c>
      <c r="L51" s="150"/>
      <c r="M51" s="158"/>
      <c r="N51" s="158"/>
      <c r="O51" s="152" t="str">
        <f>D51</f>
        <v>3100-0276V25</v>
      </c>
      <c r="P51" s="154" t="str">
        <f>E51</f>
        <v>VIDEO</v>
      </c>
      <c r="Q51" s="31" t="str">
        <f t="shared" si="14"/>
        <v>RM-2</v>
      </c>
      <c r="R51" s="26" t="str">
        <f t="shared" si="15"/>
        <v>VIDEO</v>
      </c>
      <c r="S51" s="27" t="str">
        <f t="shared" si="16"/>
        <v>ENC</v>
      </c>
      <c r="T51" s="61" t="s">
        <v>128</v>
      </c>
      <c r="W51" s="115" t="str">
        <f t="shared" si="17"/>
        <v/>
      </c>
    </row>
    <row r="52" spans="1:23" ht="16.149999999999999" customHeight="1" thickBot="1" x14ac:dyDescent="0.25">
      <c r="A52" s="164"/>
      <c r="B52" s="164"/>
      <c r="C52" s="159"/>
      <c r="D52" s="153" t="str">
        <f>"3100-0233-"&amp;MID(D51,11,2)</f>
        <v>3100-0233-25</v>
      </c>
      <c r="E52" s="164"/>
      <c r="F52" s="33" t="str">
        <f>A49</f>
        <v>RM-2</v>
      </c>
      <c r="G52" s="33" t="str">
        <f>E51</f>
        <v>VIDEO</v>
      </c>
      <c r="H52" s="33" t="str">
        <f>C49</f>
        <v>RM-2</v>
      </c>
      <c r="I52" s="41">
        <v>1</v>
      </c>
      <c r="L52" s="151"/>
      <c r="M52" s="159"/>
      <c r="N52" s="159"/>
      <c r="O52" s="153"/>
      <c r="P52" s="155"/>
      <c r="Q52" s="37" t="str">
        <f t="shared" si="14"/>
        <v>RM-2</v>
      </c>
      <c r="R52" s="28" t="str">
        <f t="shared" si="15"/>
        <v>VIDEO</v>
      </c>
      <c r="S52" s="29" t="str">
        <f t="shared" si="16"/>
        <v>RM-2</v>
      </c>
      <c r="T52" s="62" t="s">
        <v>129</v>
      </c>
      <c r="W52" s="115" t="str">
        <f t="shared" si="17"/>
        <v/>
      </c>
    </row>
    <row r="53" spans="1:23" ht="16.149999999999999" customHeight="1" x14ac:dyDescent="0.2">
      <c r="A53" s="161" t="s">
        <v>200</v>
      </c>
      <c r="B53" s="161" t="s">
        <v>138</v>
      </c>
      <c r="C53" s="161" t="s">
        <v>182</v>
      </c>
      <c r="D53" s="168" t="s">
        <v>201</v>
      </c>
      <c r="E53" s="161" t="s">
        <v>202</v>
      </c>
      <c r="F53" s="50" t="str">
        <f>A53</f>
        <v>PD-2</v>
      </c>
      <c r="G53" s="50" t="str">
        <f>E53</f>
        <v>SYNC</v>
      </c>
      <c r="H53" s="50" t="str">
        <f>C53</f>
        <v>CB-1</v>
      </c>
      <c r="I53" s="52">
        <v>1</v>
      </c>
      <c r="J53" s="3"/>
      <c r="L53" s="149" t="str">
        <f t="shared" ref="L53" si="18">A53</f>
        <v>PD-2</v>
      </c>
      <c r="M53" s="157" t="str">
        <f t="shared" ref="M53" si="19">B53</f>
        <v>CB-2</v>
      </c>
      <c r="N53" s="157" t="str">
        <f t="shared" ref="N53" si="20">C53</f>
        <v>CB-1</v>
      </c>
      <c r="O53" s="160" t="str">
        <f t="shared" ref="O53" si="21">D53</f>
        <v>3100-0017-20</v>
      </c>
      <c r="P53" s="156" t="str">
        <f t="shared" ref="P53" si="22">E53</f>
        <v>SYNC</v>
      </c>
      <c r="Q53" s="36" t="str">
        <f t="shared" ref="Q53:Q58" si="23">F53</f>
        <v>PD-2</v>
      </c>
      <c r="R53" s="34" t="str">
        <f t="shared" ref="R53:R58" si="24">G53</f>
        <v>SYNC</v>
      </c>
      <c r="S53" s="35" t="str">
        <f t="shared" ref="S53:S58" si="25">H53</f>
        <v>CB-1</v>
      </c>
      <c r="T53" s="60" t="s">
        <v>59</v>
      </c>
      <c r="W53" s="115" t="str">
        <f>IF(A53=0, "",A53)</f>
        <v>PD-2</v>
      </c>
    </row>
    <row r="54" spans="1:23" ht="16.149999999999999" customHeight="1" thickBot="1" x14ac:dyDescent="0.25">
      <c r="A54" s="165"/>
      <c r="B54" s="165"/>
      <c r="C54" s="165"/>
      <c r="D54" s="166"/>
      <c r="E54" s="162"/>
      <c r="F54" s="17" t="str">
        <f>A53</f>
        <v>PD-2</v>
      </c>
      <c r="G54" s="17" t="str">
        <f>E53</f>
        <v>SYNC</v>
      </c>
      <c r="H54" s="17" t="str">
        <f>B53</f>
        <v>CB-2</v>
      </c>
      <c r="I54" s="48">
        <v>1</v>
      </c>
      <c r="J54" s="3"/>
      <c r="L54" s="150"/>
      <c r="M54" s="158"/>
      <c r="N54" s="158"/>
      <c r="O54" s="152"/>
      <c r="P54" s="154"/>
      <c r="Q54" s="31" t="str">
        <f t="shared" si="23"/>
        <v>PD-2</v>
      </c>
      <c r="R54" s="26" t="str">
        <f t="shared" si="24"/>
        <v>SYNC</v>
      </c>
      <c r="S54" s="27" t="str">
        <f t="shared" si="25"/>
        <v>CB-2</v>
      </c>
      <c r="T54" s="61" t="s">
        <v>55</v>
      </c>
      <c r="W54" s="115" t="str">
        <f t="shared" ref="W54:W76" si="26">IF(A54=0, "",A54)</f>
        <v/>
      </c>
    </row>
    <row r="55" spans="1:23" ht="16.149999999999999" customHeight="1" x14ac:dyDescent="0.2">
      <c r="A55" s="165"/>
      <c r="B55" s="161" t="s">
        <v>138</v>
      </c>
      <c r="C55" s="157" t="str">
        <f>A53</f>
        <v>PD-2</v>
      </c>
      <c r="D55" s="168" t="s">
        <v>130</v>
      </c>
      <c r="E55" s="161" t="s">
        <v>1</v>
      </c>
      <c r="F55" s="50" t="str">
        <f>A53</f>
        <v>PD-2</v>
      </c>
      <c r="G55" s="50" t="str">
        <f>E55</f>
        <v>POWER</v>
      </c>
      <c r="H55" s="50" t="str">
        <f>B55</f>
        <v>CB-2</v>
      </c>
      <c r="I55" s="52">
        <v>1</v>
      </c>
      <c r="J55" s="3"/>
      <c r="L55" s="150"/>
      <c r="M55" s="157" t="str">
        <f>B55</f>
        <v>CB-2</v>
      </c>
      <c r="N55" s="157" t="str">
        <f>C55</f>
        <v>PD-2</v>
      </c>
      <c r="O55" s="160" t="str">
        <f>D55</f>
        <v>3100-0234-02</v>
      </c>
      <c r="P55" s="156" t="str">
        <f>E55</f>
        <v>POWER</v>
      </c>
      <c r="Q55" s="36" t="str">
        <f t="shared" si="23"/>
        <v>PD-2</v>
      </c>
      <c r="R55" s="34" t="str">
        <f t="shared" si="24"/>
        <v>POWER</v>
      </c>
      <c r="S55" s="35" t="str">
        <f t="shared" si="25"/>
        <v>CB-2</v>
      </c>
      <c r="T55" s="60" t="s">
        <v>59</v>
      </c>
      <c r="W55" s="115" t="str">
        <f t="shared" si="26"/>
        <v/>
      </c>
    </row>
    <row r="56" spans="1:23" ht="16.149999999999999" customHeight="1" x14ac:dyDescent="0.2">
      <c r="A56" s="165"/>
      <c r="B56" s="165"/>
      <c r="C56" s="158"/>
      <c r="D56" s="166"/>
      <c r="E56" s="162"/>
      <c r="F56" s="17" t="str">
        <f>A53</f>
        <v>PD-2</v>
      </c>
      <c r="G56" s="17" t="str">
        <f>E55</f>
        <v>POWER</v>
      </c>
      <c r="H56" s="17" t="str">
        <f>C55</f>
        <v>PD-2</v>
      </c>
      <c r="I56" s="48">
        <v>1</v>
      </c>
      <c r="J56" s="3"/>
      <c r="L56" s="150"/>
      <c r="M56" s="158"/>
      <c r="N56" s="158"/>
      <c r="O56" s="152"/>
      <c r="P56" s="154"/>
      <c r="Q56" s="31" t="str">
        <f t="shared" si="23"/>
        <v>PD-2</v>
      </c>
      <c r="R56" s="26" t="str">
        <f t="shared" si="24"/>
        <v>POWER</v>
      </c>
      <c r="S56" s="27" t="str">
        <f t="shared" si="25"/>
        <v>PD-2</v>
      </c>
      <c r="T56" s="61" t="s">
        <v>55</v>
      </c>
      <c r="W56" s="115" t="str">
        <f t="shared" si="26"/>
        <v/>
      </c>
    </row>
    <row r="57" spans="1:23" ht="16.149999999999999" customHeight="1" x14ac:dyDescent="0.2">
      <c r="A57" s="165"/>
      <c r="B57" s="165"/>
      <c r="C57" s="158"/>
      <c r="D57" s="152" t="str">
        <f>"3100-0017-"&amp;MID(D55,11,2)</f>
        <v>3100-0017-02</v>
      </c>
      <c r="E57" s="163" t="s">
        <v>202</v>
      </c>
      <c r="F57" s="17" t="str">
        <f>A53</f>
        <v>PD-2</v>
      </c>
      <c r="G57" s="17" t="str">
        <f>E57</f>
        <v>SYNC</v>
      </c>
      <c r="H57" s="17" t="str">
        <f>B55</f>
        <v>CB-2</v>
      </c>
      <c r="I57" s="48">
        <v>1</v>
      </c>
      <c r="L57" s="150"/>
      <c r="M57" s="158"/>
      <c r="N57" s="158"/>
      <c r="O57" s="152" t="str">
        <f>D57</f>
        <v>3100-0017-02</v>
      </c>
      <c r="P57" s="154" t="str">
        <f>E57</f>
        <v>SYNC</v>
      </c>
      <c r="Q57" s="31" t="str">
        <f t="shared" si="23"/>
        <v>PD-2</v>
      </c>
      <c r="R57" s="26" t="str">
        <f t="shared" si="24"/>
        <v>SYNC</v>
      </c>
      <c r="S57" s="27" t="str">
        <f t="shared" si="25"/>
        <v>CB-2</v>
      </c>
      <c r="T57" s="61" t="s">
        <v>59</v>
      </c>
      <c r="W57" s="115" t="str">
        <f t="shared" si="26"/>
        <v/>
      </c>
    </row>
    <row r="58" spans="1:23" ht="16.149999999999999" customHeight="1" thickBot="1" x14ac:dyDescent="0.25">
      <c r="A58" s="165"/>
      <c r="B58" s="164"/>
      <c r="C58" s="159"/>
      <c r="D58" s="153" t="str">
        <f>"3100-0233-"&amp;MID(D57,11,2)</f>
        <v>3100-0233-02</v>
      </c>
      <c r="E58" s="164"/>
      <c r="F58" s="33" t="str">
        <f>A53</f>
        <v>PD-2</v>
      </c>
      <c r="G58" s="33" t="str">
        <f>E57</f>
        <v>SYNC</v>
      </c>
      <c r="H58" s="33" t="str">
        <f>C55</f>
        <v>PD-2</v>
      </c>
      <c r="I58" s="41">
        <v>1</v>
      </c>
      <c r="L58" s="150"/>
      <c r="M58" s="159"/>
      <c r="N58" s="159"/>
      <c r="O58" s="153"/>
      <c r="P58" s="155"/>
      <c r="Q58" s="37" t="str">
        <f t="shared" si="23"/>
        <v>PD-2</v>
      </c>
      <c r="R58" s="28" t="str">
        <f t="shared" si="24"/>
        <v>SYNC</v>
      </c>
      <c r="S58" s="29" t="str">
        <f t="shared" si="25"/>
        <v>PD-2</v>
      </c>
      <c r="T58" s="62" t="s">
        <v>55</v>
      </c>
      <c r="W58" s="115" t="str">
        <f t="shared" si="26"/>
        <v/>
      </c>
    </row>
    <row r="59" spans="1:23" ht="16.149999999999999" customHeight="1" x14ac:dyDescent="0.2">
      <c r="A59" s="165"/>
      <c r="B59" s="165" t="s">
        <v>138</v>
      </c>
      <c r="C59" s="165" t="s">
        <v>140</v>
      </c>
      <c r="D59" s="152" t="s">
        <v>203</v>
      </c>
      <c r="E59" s="163" t="s">
        <v>28</v>
      </c>
      <c r="F59" s="17" t="str">
        <f>A53</f>
        <v>PD-2</v>
      </c>
      <c r="G59" s="17" t="str">
        <f>E59</f>
        <v>ETHERNET</v>
      </c>
      <c r="H59" s="17" t="str">
        <f>B59</f>
        <v>CB-2</v>
      </c>
      <c r="I59" s="48">
        <v>1</v>
      </c>
      <c r="L59" s="150"/>
      <c r="M59" s="158" t="str">
        <f>B59</f>
        <v>CB-2</v>
      </c>
      <c r="N59" s="158" t="str">
        <f>C59</f>
        <v>CB-4</v>
      </c>
      <c r="O59" s="152" t="str">
        <f>D59</f>
        <v>3100-0233-20</v>
      </c>
      <c r="P59" s="154" t="str">
        <f>E59</f>
        <v>ETHERNET</v>
      </c>
      <c r="Q59" s="31" t="str">
        <f t="shared" ref="Q59:Q60" si="27">F59</f>
        <v>PD-2</v>
      </c>
      <c r="R59" s="26" t="str">
        <f t="shared" ref="R59:R60" si="28">G59</f>
        <v>ETHERNET</v>
      </c>
      <c r="S59" s="27" t="str">
        <f t="shared" ref="S59:S60" si="29">H59</f>
        <v>CB-2</v>
      </c>
      <c r="T59" s="61" t="s">
        <v>59</v>
      </c>
      <c r="W59" s="115" t="str">
        <f t="shared" ref="W59:W60" si="30">IF(A59=0, "",A59)</f>
        <v/>
      </c>
    </row>
    <row r="60" spans="1:23" ht="16.149999999999999" customHeight="1" thickBot="1" x14ac:dyDescent="0.25">
      <c r="A60" s="165"/>
      <c r="B60" s="164"/>
      <c r="C60" s="164"/>
      <c r="D60" s="153" t="str">
        <f>"3100-0233-"&amp;MID(D59,11,2)</f>
        <v>3100-0233-20</v>
      </c>
      <c r="E60" s="164"/>
      <c r="F60" s="33" t="str">
        <f>A53</f>
        <v>PD-2</v>
      </c>
      <c r="G60" s="33" t="str">
        <f>E59</f>
        <v>ETHERNET</v>
      </c>
      <c r="H60" s="33" t="str">
        <f>C59</f>
        <v>CB-4</v>
      </c>
      <c r="I60" s="41">
        <v>1</v>
      </c>
      <c r="L60" s="150"/>
      <c r="M60" s="159"/>
      <c r="N60" s="159"/>
      <c r="O60" s="153"/>
      <c r="P60" s="155"/>
      <c r="Q60" s="37" t="str">
        <f t="shared" si="27"/>
        <v>PD-2</v>
      </c>
      <c r="R60" s="28" t="str">
        <f t="shared" si="28"/>
        <v>ETHERNET</v>
      </c>
      <c r="S60" s="29" t="str">
        <f t="shared" si="29"/>
        <v>CB-4</v>
      </c>
      <c r="T60" s="62" t="s">
        <v>59</v>
      </c>
      <c r="W60" s="115" t="str">
        <f t="shared" si="30"/>
        <v/>
      </c>
    </row>
    <row r="61" spans="1:23" ht="16.149999999999999" customHeight="1" x14ac:dyDescent="0.2">
      <c r="A61" s="161"/>
      <c r="B61" s="161"/>
      <c r="C61" s="161"/>
      <c r="D61" s="168"/>
      <c r="E61" s="161"/>
      <c r="F61" s="50"/>
      <c r="G61" s="50"/>
      <c r="H61" s="50"/>
      <c r="I61" s="52"/>
      <c r="J61" s="3"/>
      <c r="L61" s="149"/>
      <c r="M61" s="157"/>
      <c r="N61" s="157"/>
      <c r="O61" s="160"/>
      <c r="P61" s="156"/>
      <c r="Q61" s="36"/>
      <c r="R61" s="34"/>
      <c r="S61" s="35"/>
      <c r="T61" s="60"/>
      <c r="W61" s="115" t="str">
        <f t="shared" si="26"/>
        <v/>
      </c>
    </row>
    <row r="62" spans="1:23" ht="16.149999999999999" customHeight="1" x14ac:dyDescent="0.2">
      <c r="A62" s="165"/>
      <c r="B62" s="165"/>
      <c r="C62" s="165"/>
      <c r="D62" s="166"/>
      <c r="E62" s="162"/>
      <c r="F62" s="17"/>
      <c r="G62" s="17"/>
      <c r="H62" s="17"/>
      <c r="I62" s="48"/>
      <c r="J62" s="3"/>
      <c r="L62" s="150"/>
      <c r="M62" s="158"/>
      <c r="N62" s="158"/>
      <c r="O62" s="152"/>
      <c r="P62" s="154"/>
      <c r="Q62" s="31"/>
      <c r="R62" s="26"/>
      <c r="S62" s="27"/>
      <c r="T62" s="61"/>
      <c r="W62" s="115" t="str">
        <f t="shared" si="26"/>
        <v/>
      </c>
    </row>
    <row r="63" spans="1:23" ht="16.149999999999999" customHeight="1" x14ac:dyDescent="0.2">
      <c r="A63" s="165"/>
      <c r="B63" s="165"/>
      <c r="C63" s="165"/>
      <c r="D63" s="152"/>
      <c r="E63" s="163"/>
      <c r="F63" s="17"/>
      <c r="G63" s="17"/>
      <c r="H63" s="17"/>
      <c r="I63" s="48"/>
      <c r="L63" s="150"/>
      <c r="M63" s="158"/>
      <c r="N63" s="158"/>
      <c r="O63" s="152"/>
      <c r="P63" s="154"/>
      <c r="Q63" s="31"/>
      <c r="R63" s="26"/>
      <c r="S63" s="27"/>
      <c r="T63" s="61"/>
      <c r="W63" s="115" t="str">
        <f t="shared" si="26"/>
        <v/>
      </c>
    </row>
    <row r="64" spans="1:23" ht="16.149999999999999" customHeight="1" thickBot="1" x14ac:dyDescent="0.25">
      <c r="A64" s="165"/>
      <c r="B64" s="164"/>
      <c r="C64" s="164"/>
      <c r="D64" s="153"/>
      <c r="E64" s="164"/>
      <c r="F64" s="33"/>
      <c r="G64" s="33"/>
      <c r="H64" s="33"/>
      <c r="I64" s="41"/>
      <c r="L64" s="150"/>
      <c r="M64" s="159"/>
      <c r="N64" s="159"/>
      <c r="O64" s="153"/>
      <c r="P64" s="155"/>
      <c r="Q64" s="37"/>
      <c r="R64" s="28"/>
      <c r="S64" s="29"/>
      <c r="T64" s="62"/>
      <c r="W64" s="115" t="str">
        <f t="shared" si="26"/>
        <v/>
      </c>
    </row>
    <row r="65" spans="1:23" ht="16.149999999999999" customHeight="1" x14ac:dyDescent="0.2">
      <c r="A65" s="165"/>
      <c r="B65" s="161"/>
      <c r="C65" s="161"/>
      <c r="D65" s="168"/>
      <c r="E65" s="161"/>
      <c r="F65" s="50"/>
      <c r="G65" s="50"/>
      <c r="H65" s="50"/>
      <c r="I65" s="52"/>
      <c r="J65" s="3"/>
      <c r="L65" s="150"/>
      <c r="M65" s="157"/>
      <c r="N65" s="157"/>
      <c r="O65" s="160"/>
      <c r="P65" s="156"/>
      <c r="Q65" s="36"/>
      <c r="R65" s="34"/>
      <c r="S65" s="35"/>
      <c r="T65" s="60"/>
      <c r="W65" s="115" t="str">
        <f t="shared" si="26"/>
        <v/>
      </c>
    </row>
    <row r="66" spans="1:23" ht="16.149999999999999" customHeight="1" x14ac:dyDescent="0.2">
      <c r="A66" s="165"/>
      <c r="B66" s="165"/>
      <c r="C66" s="165"/>
      <c r="D66" s="166"/>
      <c r="E66" s="162"/>
      <c r="F66" s="17"/>
      <c r="G66" s="17"/>
      <c r="H66" s="17"/>
      <c r="I66" s="48"/>
      <c r="J66" s="3"/>
      <c r="L66" s="150"/>
      <c r="M66" s="158"/>
      <c r="N66" s="158"/>
      <c r="O66" s="152"/>
      <c r="P66" s="154"/>
      <c r="Q66" s="31"/>
      <c r="R66" s="26"/>
      <c r="S66" s="27"/>
      <c r="T66" s="61"/>
      <c r="W66" s="115" t="str">
        <f t="shared" si="26"/>
        <v/>
      </c>
    </row>
    <row r="67" spans="1:23" ht="16.149999999999999" customHeight="1" x14ac:dyDescent="0.2">
      <c r="A67" s="165"/>
      <c r="B67" s="165"/>
      <c r="C67" s="165"/>
      <c r="D67" s="152"/>
      <c r="E67" s="163"/>
      <c r="F67" s="17"/>
      <c r="G67" s="17"/>
      <c r="H67" s="17"/>
      <c r="I67" s="48"/>
      <c r="L67" s="150"/>
      <c r="M67" s="158"/>
      <c r="N67" s="158"/>
      <c r="O67" s="152"/>
      <c r="P67" s="154"/>
      <c r="Q67" s="31"/>
      <c r="R67" s="26"/>
      <c r="S67" s="27"/>
      <c r="T67" s="61"/>
      <c r="W67" s="115" t="str">
        <f t="shared" si="26"/>
        <v/>
      </c>
    </row>
    <row r="68" spans="1:23" ht="16.149999999999999" customHeight="1" thickBot="1" x14ac:dyDescent="0.25">
      <c r="A68" s="165"/>
      <c r="B68" s="164"/>
      <c r="C68" s="164"/>
      <c r="D68" s="153"/>
      <c r="E68" s="164"/>
      <c r="F68" s="33"/>
      <c r="G68" s="33"/>
      <c r="H68" s="33"/>
      <c r="I68" s="41"/>
      <c r="L68" s="150"/>
      <c r="M68" s="159"/>
      <c r="N68" s="159"/>
      <c r="O68" s="153"/>
      <c r="P68" s="155"/>
      <c r="Q68" s="37"/>
      <c r="R68" s="28"/>
      <c r="S68" s="29"/>
      <c r="T68" s="62"/>
      <c r="W68" s="115" t="str">
        <f t="shared" si="26"/>
        <v/>
      </c>
    </row>
    <row r="69" spans="1:23" ht="16.149999999999999" customHeight="1" x14ac:dyDescent="0.2">
      <c r="A69" s="165"/>
      <c r="B69" s="161"/>
      <c r="C69" s="169"/>
      <c r="D69" s="168"/>
      <c r="E69" s="161"/>
      <c r="F69" s="50"/>
      <c r="G69" s="50"/>
      <c r="H69" s="50"/>
      <c r="I69" s="52"/>
      <c r="J69" s="3"/>
      <c r="L69" s="150"/>
      <c r="M69" s="157"/>
      <c r="N69" s="157"/>
      <c r="O69" s="160"/>
      <c r="P69" s="156"/>
      <c r="Q69" s="36"/>
      <c r="R69" s="34"/>
      <c r="S69" s="35"/>
      <c r="T69" s="60"/>
      <c r="W69" s="115" t="str">
        <f t="shared" si="26"/>
        <v/>
      </c>
    </row>
    <row r="70" spans="1:23" ht="16.149999999999999" customHeight="1" x14ac:dyDescent="0.2">
      <c r="A70" s="165"/>
      <c r="B70" s="165"/>
      <c r="C70" s="165"/>
      <c r="D70" s="166"/>
      <c r="E70" s="162"/>
      <c r="F70" s="17"/>
      <c r="G70" s="17"/>
      <c r="H70" s="17"/>
      <c r="I70" s="48"/>
      <c r="J70" s="3"/>
      <c r="L70" s="150"/>
      <c r="M70" s="158"/>
      <c r="N70" s="158"/>
      <c r="O70" s="152"/>
      <c r="P70" s="154"/>
      <c r="Q70" s="31"/>
      <c r="R70" s="26"/>
      <c r="S70" s="27"/>
      <c r="T70" s="61"/>
      <c r="W70" s="115" t="str">
        <f t="shared" si="26"/>
        <v/>
      </c>
    </row>
    <row r="71" spans="1:23" ht="16.149999999999999" customHeight="1" x14ac:dyDescent="0.2">
      <c r="A71" s="165"/>
      <c r="B71" s="165"/>
      <c r="C71" s="165"/>
      <c r="D71" s="152"/>
      <c r="E71" s="163"/>
      <c r="F71" s="17"/>
      <c r="G71" s="17"/>
      <c r="H71" s="17"/>
      <c r="I71" s="48"/>
      <c r="L71" s="150"/>
      <c r="M71" s="158"/>
      <c r="N71" s="158"/>
      <c r="O71" s="152"/>
      <c r="P71" s="154"/>
      <c r="Q71" s="31"/>
      <c r="R71" s="26"/>
      <c r="S71" s="27"/>
      <c r="T71" s="61"/>
      <c r="W71" s="115" t="str">
        <f t="shared" si="26"/>
        <v/>
      </c>
    </row>
    <row r="72" spans="1:23" ht="16.149999999999999" customHeight="1" thickBot="1" x14ac:dyDescent="0.25">
      <c r="A72" s="165"/>
      <c r="B72" s="164"/>
      <c r="C72" s="164"/>
      <c r="D72" s="153"/>
      <c r="E72" s="164"/>
      <c r="F72" s="33"/>
      <c r="G72" s="33"/>
      <c r="H72" s="33"/>
      <c r="I72" s="41"/>
      <c r="L72" s="150"/>
      <c r="M72" s="159"/>
      <c r="N72" s="159"/>
      <c r="O72" s="153"/>
      <c r="P72" s="155"/>
      <c r="Q72" s="37"/>
      <c r="R72" s="28"/>
      <c r="S72" s="29"/>
      <c r="T72" s="62"/>
      <c r="W72" s="115" t="str">
        <f t="shared" si="26"/>
        <v/>
      </c>
    </row>
    <row r="73" spans="1:23" ht="16.149999999999999" customHeight="1" x14ac:dyDescent="0.2">
      <c r="A73" s="165"/>
      <c r="B73" s="169"/>
      <c r="C73" s="157"/>
      <c r="D73" s="168"/>
      <c r="E73" s="161"/>
      <c r="F73" s="50"/>
      <c r="G73" s="50"/>
      <c r="H73" s="50"/>
      <c r="I73" s="52"/>
      <c r="J73" s="3"/>
      <c r="L73" s="150"/>
      <c r="M73" s="157"/>
      <c r="N73" s="157"/>
      <c r="O73" s="160"/>
      <c r="P73" s="156"/>
      <c r="Q73" s="36"/>
      <c r="R73" s="34"/>
      <c r="S73" s="35"/>
      <c r="T73" s="60"/>
      <c r="W73" s="115" t="str">
        <f t="shared" si="26"/>
        <v/>
      </c>
    </row>
    <row r="74" spans="1:23" ht="16.149999999999999" customHeight="1" x14ac:dyDescent="0.2">
      <c r="A74" s="165"/>
      <c r="B74" s="170"/>
      <c r="C74" s="158"/>
      <c r="D74" s="166"/>
      <c r="E74" s="162"/>
      <c r="F74" s="17"/>
      <c r="G74" s="17"/>
      <c r="H74" s="17"/>
      <c r="I74" s="48"/>
      <c r="J74" s="3"/>
      <c r="L74" s="150"/>
      <c r="M74" s="158"/>
      <c r="N74" s="158"/>
      <c r="O74" s="152"/>
      <c r="P74" s="154"/>
      <c r="Q74" s="31"/>
      <c r="R74" s="26"/>
      <c r="S74" s="27"/>
      <c r="T74" s="61"/>
      <c r="W74" s="115" t="str">
        <f t="shared" si="26"/>
        <v/>
      </c>
    </row>
    <row r="75" spans="1:23" ht="16.149999999999999" customHeight="1" x14ac:dyDescent="0.2">
      <c r="A75" s="165"/>
      <c r="B75" s="170"/>
      <c r="C75" s="158"/>
      <c r="D75" s="152"/>
      <c r="E75" s="163"/>
      <c r="F75" s="17"/>
      <c r="G75" s="17"/>
      <c r="H75" s="17"/>
      <c r="I75" s="48"/>
      <c r="L75" s="150"/>
      <c r="M75" s="158"/>
      <c r="N75" s="158"/>
      <c r="O75" s="152"/>
      <c r="P75" s="154"/>
      <c r="Q75" s="31"/>
      <c r="R75" s="26"/>
      <c r="S75" s="27"/>
      <c r="T75" s="61"/>
      <c r="W75" s="115" t="str">
        <f t="shared" si="26"/>
        <v/>
      </c>
    </row>
    <row r="76" spans="1:23" ht="16.149999999999999" customHeight="1" thickBot="1" x14ac:dyDescent="0.25">
      <c r="A76" s="164"/>
      <c r="B76" s="171"/>
      <c r="C76" s="159"/>
      <c r="D76" s="153"/>
      <c r="E76" s="164"/>
      <c r="F76" s="33"/>
      <c r="G76" s="33"/>
      <c r="H76" s="33"/>
      <c r="I76" s="41"/>
      <c r="L76" s="151"/>
      <c r="M76" s="159"/>
      <c r="N76" s="159"/>
      <c r="O76" s="153"/>
      <c r="P76" s="155"/>
      <c r="Q76" s="37"/>
      <c r="R76" s="28"/>
      <c r="S76" s="29"/>
      <c r="T76" s="62"/>
      <c r="W76" s="115" t="str">
        <f t="shared" si="26"/>
        <v/>
      </c>
    </row>
    <row r="77" spans="1:23" ht="16.149999999999999" customHeight="1" x14ac:dyDescent="0.2">
      <c r="A77" s="161"/>
      <c r="B77" s="161"/>
      <c r="C77" s="161"/>
      <c r="D77" s="168"/>
      <c r="E77" s="161"/>
      <c r="F77" s="50"/>
      <c r="G77" s="50"/>
      <c r="H77" s="50"/>
      <c r="I77" s="52"/>
      <c r="J77" s="3"/>
      <c r="L77" s="149"/>
      <c r="M77" s="157"/>
      <c r="N77" s="157"/>
      <c r="O77" s="160"/>
      <c r="P77" s="156"/>
      <c r="Q77" s="36"/>
      <c r="R77" s="34"/>
      <c r="S77" s="35"/>
      <c r="T77" s="60"/>
      <c r="W77" s="115" t="str">
        <f t="shared" ref="W77:W92" si="31">IF(A77=0, "",A77)</f>
        <v/>
      </c>
    </row>
    <row r="78" spans="1:23" ht="16.149999999999999" customHeight="1" x14ac:dyDescent="0.2">
      <c r="A78" s="165"/>
      <c r="B78" s="165"/>
      <c r="C78" s="165"/>
      <c r="D78" s="166"/>
      <c r="E78" s="162"/>
      <c r="F78" s="17"/>
      <c r="G78" s="17"/>
      <c r="H78" s="17"/>
      <c r="I78" s="48"/>
      <c r="J78" s="3"/>
      <c r="L78" s="150"/>
      <c r="M78" s="158"/>
      <c r="N78" s="158"/>
      <c r="O78" s="152"/>
      <c r="P78" s="154"/>
      <c r="Q78" s="31"/>
      <c r="R78" s="26"/>
      <c r="S78" s="27"/>
      <c r="T78" s="61"/>
      <c r="W78" s="115" t="str">
        <f t="shared" si="31"/>
        <v/>
      </c>
    </row>
    <row r="79" spans="1:23" ht="16.149999999999999" customHeight="1" x14ac:dyDescent="0.2">
      <c r="A79" s="165"/>
      <c r="B79" s="165"/>
      <c r="C79" s="165"/>
      <c r="D79" s="152"/>
      <c r="E79" s="163"/>
      <c r="F79" s="17"/>
      <c r="G79" s="17"/>
      <c r="H79" s="17"/>
      <c r="I79" s="48"/>
      <c r="L79" s="150"/>
      <c r="M79" s="158"/>
      <c r="N79" s="158"/>
      <c r="O79" s="152"/>
      <c r="P79" s="154"/>
      <c r="Q79" s="31"/>
      <c r="R79" s="26"/>
      <c r="S79" s="27"/>
      <c r="T79" s="61"/>
      <c r="W79" s="115" t="str">
        <f t="shared" si="31"/>
        <v/>
      </c>
    </row>
    <row r="80" spans="1:23" ht="16.149999999999999" customHeight="1" thickBot="1" x14ac:dyDescent="0.25">
      <c r="A80" s="165"/>
      <c r="B80" s="164"/>
      <c r="C80" s="164"/>
      <c r="D80" s="153"/>
      <c r="E80" s="164"/>
      <c r="F80" s="33"/>
      <c r="G80" s="33"/>
      <c r="H80" s="33"/>
      <c r="I80" s="41"/>
      <c r="L80" s="150"/>
      <c r="M80" s="159"/>
      <c r="N80" s="159"/>
      <c r="O80" s="153"/>
      <c r="P80" s="155"/>
      <c r="Q80" s="37"/>
      <c r="R80" s="28"/>
      <c r="S80" s="29"/>
      <c r="T80" s="62"/>
      <c r="W80" s="115" t="str">
        <f t="shared" si="31"/>
        <v/>
      </c>
    </row>
    <row r="81" spans="1:23" ht="16.149999999999999" customHeight="1" x14ac:dyDescent="0.2">
      <c r="A81" s="165"/>
      <c r="B81" s="161"/>
      <c r="C81" s="161"/>
      <c r="D81" s="168"/>
      <c r="E81" s="161"/>
      <c r="F81" s="50"/>
      <c r="G81" s="50"/>
      <c r="H81" s="50"/>
      <c r="I81" s="52"/>
      <c r="J81" s="3"/>
      <c r="L81" s="150"/>
      <c r="M81" s="157"/>
      <c r="N81" s="157"/>
      <c r="O81" s="160"/>
      <c r="P81" s="156"/>
      <c r="Q81" s="36"/>
      <c r="R81" s="34"/>
      <c r="S81" s="35"/>
      <c r="T81" s="60"/>
      <c r="W81" s="115" t="str">
        <f t="shared" si="31"/>
        <v/>
      </c>
    </row>
    <row r="82" spans="1:23" ht="16.149999999999999" customHeight="1" x14ac:dyDescent="0.2">
      <c r="A82" s="165"/>
      <c r="B82" s="165"/>
      <c r="C82" s="165"/>
      <c r="D82" s="166"/>
      <c r="E82" s="162"/>
      <c r="F82" s="17"/>
      <c r="G82" s="17"/>
      <c r="H82" s="17"/>
      <c r="I82" s="48"/>
      <c r="J82" s="3"/>
      <c r="L82" s="150"/>
      <c r="M82" s="158"/>
      <c r="N82" s="158"/>
      <c r="O82" s="152"/>
      <c r="P82" s="154"/>
      <c r="Q82" s="31"/>
      <c r="R82" s="26"/>
      <c r="S82" s="27"/>
      <c r="T82" s="61"/>
      <c r="W82" s="115" t="str">
        <f t="shared" si="31"/>
        <v/>
      </c>
    </row>
    <row r="83" spans="1:23" ht="16.149999999999999" customHeight="1" x14ac:dyDescent="0.2">
      <c r="A83" s="165"/>
      <c r="B83" s="165"/>
      <c r="C83" s="165"/>
      <c r="D83" s="152"/>
      <c r="E83" s="163"/>
      <c r="F83" s="17"/>
      <c r="G83" s="17"/>
      <c r="H83" s="17"/>
      <c r="I83" s="48"/>
      <c r="L83" s="150"/>
      <c r="M83" s="158"/>
      <c r="N83" s="158"/>
      <c r="O83" s="152"/>
      <c r="P83" s="154"/>
      <c r="Q83" s="31"/>
      <c r="R83" s="26"/>
      <c r="S83" s="27"/>
      <c r="T83" s="61"/>
      <c r="W83" s="115" t="str">
        <f t="shared" si="31"/>
        <v/>
      </c>
    </row>
    <row r="84" spans="1:23" ht="16.149999999999999" customHeight="1" thickBot="1" x14ac:dyDescent="0.25">
      <c r="A84" s="165"/>
      <c r="B84" s="164"/>
      <c r="C84" s="164"/>
      <c r="D84" s="153"/>
      <c r="E84" s="164"/>
      <c r="F84" s="33"/>
      <c r="G84" s="33"/>
      <c r="H84" s="33"/>
      <c r="I84" s="41"/>
      <c r="L84" s="150"/>
      <c r="M84" s="159"/>
      <c r="N84" s="159"/>
      <c r="O84" s="153"/>
      <c r="P84" s="155"/>
      <c r="Q84" s="37"/>
      <c r="R84" s="28"/>
      <c r="S84" s="29"/>
      <c r="T84" s="62"/>
      <c r="W84" s="115" t="str">
        <f t="shared" si="31"/>
        <v/>
      </c>
    </row>
    <row r="85" spans="1:23" ht="16.149999999999999" customHeight="1" x14ac:dyDescent="0.2">
      <c r="A85" s="165"/>
      <c r="B85" s="161"/>
      <c r="C85" s="169"/>
      <c r="D85" s="168"/>
      <c r="E85" s="161"/>
      <c r="F85" s="50"/>
      <c r="G85" s="50"/>
      <c r="H85" s="50"/>
      <c r="I85" s="52"/>
      <c r="J85" s="3"/>
      <c r="L85" s="150"/>
      <c r="M85" s="157"/>
      <c r="N85" s="157"/>
      <c r="O85" s="160"/>
      <c r="P85" s="156"/>
      <c r="Q85" s="36"/>
      <c r="R85" s="34"/>
      <c r="S85" s="35"/>
      <c r="T85" s="60"/>
      <c r="W85" s="115" t="str">
        <f t="shared" si="31"/>
        <v/>
      </c>
    </row>
    <row r="86" spans="1:23" ht="16.149999999999999" customHeight="1" x14ac:dyDescent="0.2">
      <c r="A86" s="165"/>
      <c r="B86" s="165"/>
      <c r="C86" s="170"/>
      <c r="D86" s="166"/>
      <c r="E86" s="162"/>
      <c r="F86" s="17"/>
      <c r="G86" s="17"/>
      <c r="H86" s="17"/>
      <c r="I86" s="48"/>
      <c r="J86" s="3"/>
      <c r="L86" s="150"/>
      <c r="M86" s="158"/>
      <c r="N86" s="158"/>
      <c r="O86" s="152"/>
      <c r="P86" s="154"/>
      <c r="Q86" s="31"/>
      <c r="R86" s="26"/>
      <c r="S86" s="27"/>
      <c r="T86" s="61"/>
      <c r="W86" s="115" t="str">
        <f t="shared" si="31"/>
        <v/>
      </c>
    </row>
    <row r="87" spans="1:23" ht="16.149999999999999" customHeight="1" x14ac:dyDescent="0.2">
      <c r="A87" s="165"/>
      <c r="B87" s="165"/>
      <c r="C87" s="170"/>
      <c r="D87" s="152"/>
      <c r="E87" s="163"/>
      <c r="F87" s="17"/>
      <c r="G87" s="17"/>
      <c r="H87" s="17"/>
      <c r="I87" s="48"/>
      <c r="L87" s="150"/>
      <c r="M87" s="158"/>
      <c r="N87" s="158"/>
      <c r="O87" s="152"/>
      <c r="P87" s="154"/>
      <c r="Q87" s="31"/>
      <c r="R87" s="26"/>
      <c r="S87" s="27"/>
      <c r="T87" s="61"/>
      <c r="W87" s="115" t="str">
        <f t="shared" si="31"/>
        <v/>
      </c>
    </row>
    <row r="88" spans="1:23" ht="16.149999999999999" customHeight="1" thickBot="1" x14ac:dyDescent="0.25">
      <c r="A88" s="165"/>
      <c r="B88" s="164"/>
      <c r="C88" s="171"/>
      <c r="D88" s="153"/>
      <c r="E88" s="164"/>
      <c r="F88" s="33"/>
      <c r="G88" s="33"/>
      <c r="H88" s="33"/>
      <c r="I88" s="41"/>
      <c r="L88" s="150"/>
      <c r="M88" s="159"/>
      <c r="N88" s="159"/>
      <c r="O88" s="153"/>
      <c r="P88" s="155"/>
      <c r="Q88" s="37"/>
      <c r="R88" s="28"/>
      <c r="S88" s="29"/>
      <c r="T88" s="62"/>
      <c r="W88" s="115" t="str">
        <f t="shared" si="31"/>
        <v/>
      </c>
    </row>
    <row r="89" spans="1:23" ht="16.149999999999999" customHeight="1" x14ac:dyDescent="0.2">
      <c r="A89" s="165"/>
      <c r="B89" s="169"/>
      <c r="C89" s="157"/>
      <c r="D89" s="168"/>
      <c r="E89" s="161"/>
      <c r="F89" s="50"/>
      <c r="G89" s="50"/>
      <c r="H89" s="50"/>
      <c r="I89" s="52"/>
      <c r="J89" s="3"/>
      <c r="L89" s="150"/>
      <c r="M89" s="157"/>
      <c r="N89" s="157"/>
      <c r="O89" s="160"/>
      <c r="P89" s="156"/>
      <c r="Q89" s="36"/>
      <c r="R89" s="34"/>
      <c r="S89" s="35"/>
      <c r="T89" s="60"/>
      <c r="W89" s="115" t="str">
        <f t="shared" si="31"/>
        <v/>
      </c>
    </row>
    <row r="90" spans="1:23" ht="16.149999999999999" customHeight="1" x14ac:dyDescent="0.2">
      <c r="A90" s="165"/>
      <c r="B90" s="170"/>
      <c r="C90" s="158"/>
      <c r="D90" s="166"/>
      <c r="E90" s="162"/>
      <c r="F90" s="17"/>
      <c r="G90" s="17"/>
      <c r="H90" s="17"/>
      <c r="I90" s="48"/>
      <c r="J90" s="3"/>
      <c r="L90" s="150"/>
      <c r="M90" s="158"/>
      <c r="N90" s="158"/>
      <c r="O90" s="152"/>
      <c r="P90" s="154"/>
      <c r="Q90" s="31"/>
      <c r="R90" s="26"/>
      <c r="S90" s="27"/>
      <c r="T90" s="61"/>
      <c r="W90" s="115" t="str">
        <f t="shared" si="31"/>
        <v/>
      </c>
    </row>
    <row r="91" spans="1:23" ht="16.149999999999999" customHeight="1" x14ac:dyDescent="0.2">
      <c r="A91" s="165"/>
      <c r="B91" s="170"/>
      <c r="C91" s="158"/>
      <c r="D91" s="152"/>
      <c r="E91" s="163"/>
      <c r="F91" s="17"/>
      <c r="G91" s="17"/>
      <c r="H91" s="17"/>
      <c r="I91" s="48"/>
      <c r="L91" s="150"/>
      <c r="M91" s="158"/>
      <c r="N91" s="158"/>
      <c r="O91" s="152"/>
      <c r="P91" s="154"/>
      <c r="Q91" s="31"/>
      <c r="R91" s="26"/>
      <c r="S91" s="27"/>
      <c r="T91" s="61"/>
      <c r="W91" s="115" t="str">
        <f t="shared" si="31"/>
        <v/>
      </c>
    </row>
    <row r="92" spans="1:23" ht="16.149999999999999" customHeight="1" thickBot="1" x14ac:dyDescent="0.25">
      <c r="A92" s="164"/>
      <c r="B92" s="171"/>
      <c r="C92" s="159"/>
      <c r="D92" s="153"/>
      <c r="E92" s="164"/>
      <c r="F92" s="33"/>
      <c r="G92" s="33"/>
      <c r="H92" s="33"/>
      <c r="I92" s="41"/>
      <c r="L92" s="151"/>
      <c r="M92" s="159"/>
      <c r="N92" s="159"/>
      <c r="O92" s="153"/>
      <c r="P92" s="155"/>
      <c r="Q92" s="37"/>
      <c r="R92" s="28"/>
      <c r="S92" s="29"/>
      <c r="T92" s="62"/>
      <c r="W92" s="115" t="str">
        <f t="shared" si="31"/>
        <v/>
      </c>
    </row>
    <row r="93" spans="1:23" ht="16.149999999999999" customHeight="1" x14ac:dyDescent="0.2">
      <c r="A93" s="161"/>
      <c r="B93" s="161"/>
      <c r="C93" s="157"/>
      <c r="D93" s="168"/>
      <c r="E93" s="161"/>
      <c r="F93" s="50"/>
      <c r="G93" s="50"/>
      <c r="H93" s="50"/>
      <c r="I93" s="52"/>
      <c r="J93" s="3"/>
      <c r="L93" s="149"/>
      <c r="M93" s="157"/>
      <c r="N93" s="157"/>
      <c r="O93" s="160"/>
      <c r="P93" s="156"/>
      <c r="Q93" s="36"/>
      <c r="R93" s="34"/>
      <c r="S93" s="35"/>
      <c r="T93" s="60"/>
      <c r="W93" s="115" t="str">
        <f t="shared" si="8"/>
        <v/>
      </c>
    </row>
    <row r="94" spans="1:23" ht="16.149999999999999" customHeight="1" x14ac:dyDescent="0.2">
      <c r="A94" s="165"/>
      <c r="B94" s="165"/>
      <c r="C94" s="158"/>
      <c r="D94" s="166"/>
      <c r="E94" s="162"/>
      <c r="F94" s="17"/>
      <c r="G94" s="17"/>
      <c r="H94" s="17"/>
      <c r="I94" s="48"/>
      <c r="J94" s="3"/>
      <c r="L94" s="150"/>
      <c r="M94" s="158"/>
      <c r="N94" s="158"/>
      <c r="O94" s="152"/>
      <c r="P94" s="154"/>
      <c r="Q94" s="31"/>
      <c r="R94" s="26"/>
      <c r="S94" s="27"/>
      <c r="T94" s="61"/>
      <c r="W94" s="115" t="str">
        <f t="shared" si="8"/>
        <v/>
      </c>
    </row>
    <row r="95" spans="1:23" ht="16.149999999999999" customHeight="1" x14ac:dyDescent="0.2">
      <c r="A95" s="165"/>
      <c r="B95" s="165"/>
      <c r="C95" s="158"/>
      <c r="D95" s="152"/>
      <c r="E95" s="163"/>
      <c r="F95" s="17"/>
      <c r="G95" s="17"/>
      <c r="H95" s="17"/>
      <c r="I95" s="48"/>
      <c r="L95" s="150"/>
      <c r="M95" s="158"/>
      <c r="N95" s="158"/>
      <c r="O95" s="152"/>
      <c r="P95" s="154"/>
      <c r="Q95" s="31"/>
      <c r="R95" s="26"/>
      <c r="S95" s="27"/>
      <c r="T95" s="61"/>
      <c r="W95" s="115" t="str">
        <f t="shared" si="8"/>
        <v/>
      </c>
    </row>
    <row r="96" spans="1:23" ht="16.149999999999999" customHeight="1" thickBot="1" x14ac:dyDescent="0.25">
      <c r="A96" s="164"/>
      <c r="B96" s="164"/>
      <c r="C96" s="159"/>
      <c r="D96" s="153"/>
      <c r="E96" s="164"/>
      <c r="F96" s="33"/>
      <c r="G96" s="33"/>
      <c r="H96" s="33"/>
      <c r="I96" s="41"/>
      <c r="L96" s="151"/>
      <c r="M96" s="159"/>
      <c r="N96" s="159"/>
      <c r="O96" s="153"/>
      <c r="P96" s="155"/>
      <c r="Q96" s="37"/>
      <c r="R96" s="28"/>
      <c r="S96" s="29"/>
      <c r="T96" s="62"/>
      <c r="W96" s="115" t="str">
        <f t="shared" si="8"/>
        <v/>
      </c>
    </row>
    <row r="97" spans="1:23" ht="16.149999999999999" customHeight="1" x14ac:dyDescent="0.2">
      <c r="A97" s="161"/>
      <c r="B97" s="161"/>
      <c r="C97" s="157"/>
      <c r="D97" s="168"/>
      <c r="E97" s="161"/>
      <c r="F97" s="50"/>
      <c r="G97" s="50"/>
      <c r="H97" s="50"/>
      <c r="I97" s="52"/>
      <c r="J97" s="3"/>
      <c r="L97" s="149"/>
      <c r="M97" s="157"/>
      <c r="N97" s="157"/>
      <c r="O97" s="160"/>
      <c r="P97" s="156"/>
      <c r="Q97" s="36"/>
      <c r="R97" s="34"/>
      <c r="S97" s="35"/>
      <c r="T97" s="60"/>
      <c r="W97" s="115" t="str">
        <f t="shared" si="8"/>
        <v/>
      </c>
    </row>
    <row r="98" spans="1:23" ht="16.149999999999999" customHeight="1" x14ac:dyDescent="0.2">
      <c r="A98" s="165"/>
      <c r="B98" s="165"/>
      <c r="C98" s="158"/>
      <c r="D98" s="166"/>
      <c r="E98" s="162"/>
      <c r="F98" s="17"/>
      <c r="G98" s="17"/>
      <c r="H98" s="17"/>
      <c r="I98" s="48"/>
      <c r="J98" s="3"/>
      <c r="L98" s="150"/>
      <c r="M98" s="158"/>
      <c r="N98" s="158"/>
      <c r="O98" s="152"/>
      <c r="P98" s="154"/>
      <c r="Q98" s="31"/>
      <c r="R98" s="26"/>
      <c r="S98" s="27"/>
      <c r="T98" s="61"/>
      <c r="W98" s="115" t="str">
        <f t="shared" si="8"/>
        <v/>
      </c>
    </row>
    <row r="99" spans="1:23" ht="16.149999999999999" customHeight="1" x14ac:dyDescent="0.2">
      <c r="A99" s="165"/>
      <c r="B99" s="165"/>
      <c r="C99" s="158"/>
      <c r="D99" s="152"/>
      <c r="E99" s="163"/>
      <c r="F99" s="17"/>
      <c r="G99" s="17"/>
      <c r="H99" s="17"/>
      <c r="I99" s="48"/>
      <c r="L99" s="150"/>
      <c r="M99" s="158"/>
      <c r="N99" s="158"/>
      <c r="O99" s="152"/>
      <c r="P99" s="154"/>
      <c r="Q99" s="31"/>
      <c r="R99" s="26"/>
      <c r="S99" s="27"/>
      <c r="T99" s="61"/>
      <c r="W99" s="115" t="str">
        <f t="shared" si="8"/>
        <v/>
      </c>
    </row>
    <row r="100" spans="1:23" ht="16.149999999999999" customHeight="1" thickBot="1" x14ac:dyDescent="0.25">
      <c r="A100" s="164"/>
      <c r="B100" s="164"/>
      <c r="C100" s="159"/>
      <c r="D100" s="153"/>
      <c r="E100" s="164"/>
      <c r="F100" s="33"/>
      <c r="G100" s="33"/>
      <c r="H100" s="33"/>
      <c r="I100" s="41"/>
      <c r="L100" s="151"/>
      <c r="M100" s="159"/>
      <c r="N100" s="159"/>
      <c r="O100" s="153"/>
      <c r="P100" s="155"/>
      <c r="Q100" s="37"/>
      <c r="R100" s="28"/>
      <c r="S100" s="29"/>
      <c r="T100" s="62"/>
      <c r="W100" s="115" t="str">
        <f t="shared" si="8"/>
        <v/>
      </c>
    </row>
    <row r="101" spans="1:23" ht="16.149999999999999" customHeight="1" x14ac:dyDescent="0.2">
      <c r="A101" s="161"/>
      <c r="B101" s="161"/>
      <c r="C101" s="157"/>
      <c r="D101" s="168"/>
      <c r="E101" s="161"/>
      <c r="F101" s="50"/>
      <c r="G101" s="50"/>
      <c r="H101" s="50"/>
      <c r="I101" s="52"/>
      <c r="J101" s="3"/>
      <c r="L101" s="149"/>
      <c r="M101" s="157"/>
      <c r="N101" s="157"/>
      <c r="O101" s="160"/>
      <c r="P101" s="156"/>
      <c r="Q101" s="36"/>
      <c r="R101" s="34"/>
      <c r="S101" s="35"/>
      <c r="T101" s="60"/>
      <c r="W101" s="115" t="str">
        <f t="shared" si="8"/>
        <v/>
      </c>
    </row>
    <row r="102" spans="1:23" ht="16.149999999999999" customHeight="1" x14ac:dyDescent="0.2">
      <c r="A102" s="165"/>
      <c r="B102" s="165"/>
      <c r="C102" s="158"/>
      <c r="D102" s="166"/>
      <c r="E102" s="162"/>
      <c r="F102" s="17"/>
      <c r="G102" s="17"/>
      <c r="H102" s="17"/>
      <c r="I102" s="48"/>
      <c r="J102" s="3"/>
      <c r="L102" s="150"/>
      <c r="M102" s="158"/>
      <c r="N102" s="158"/>
      <c r="O102" s="152"/>
      <c r="P102" s="154"/>
      <c r="Q102" s="31"/>
      <c r="R102" s="26"/>
      <c r="S102" s="27"/>
      <c r="T102" s="61"/>
      <c r="W102" s="115" t="str">
        <f t="shared" si="8"/>
        <v/>
      </c>
    </row>
    <row r="103" spans="1:23" ht="16.149999999999999" customHeight="1" x14ac:dyDescent="0.2">
      <c r="A103" s="165"/>
      <c r="B103" s="165"/>
      <c r="C103" s="158"/>
      <c r="D103" s="152"/>
      <c r="E103" s="163"/>
      <c r="F103" s="17"/>
      <c r="G103" s="17"/>
      <c r="H103" s="17"/>
      <c r="I103" s="48"/>
      <c r="L103" s="150"/>
      <c r="M103" s="158"/>
      <c r="N103" s="158"/>
      <c r="O103" s="152"/>
      <c r="P103" s="154"/>
      <c r="Q103" s="31"/>
      <c r="R103" s="26"/>
      <c r="S103" s="27"/>
      <c r="T103" s="61"/>
      <c r="W103" s="115" t="str">
        <f t="shared" si="8"/>
        <v/>
      </c>
    </row>
    <row r="104" spans="1:23" ht="16.149999999999999" customHeight="1" thickBot="1" x14ac:dyDescent="0.25">
      <c r="A104" s="164"/>
      <c r="B104" s="164"/>
      <c r="C104" s="159"/>
      <c r="D104" s="153"/>
      <c r="E104" s="164"/>
      <c r="F104" s="33"/>
      <c r="G104" s="33"/>
      <c r="H104" s="33"/>
      <c r="I104" s="41"/>
      <c r="L104" s="151"/>
      <c r="M104" s="159"/>
      <c r="N104" s="159"/>
      <c r="O104" s="153"/>
      <c r="P104" s="155"/>
      <c r="Q104" s="37"/>
      <c r="R104" s="28"/>
      <c r="S104" s="29"/>
      <c r="T104" s="62"/>
      <c r="W104" s="115" t="str">
        <f t="shared" si="8"/>
        <v/>
      </c>
    </row>
    <row r="105" spans="1:23" ht="16.149999999999999" customHeight="1" x14ac:dyDescent="0.2">
      <c r="A105" s="161"/>
      <c r="B105" s="161"/>
      <c r="C105" s="157"/>
      <c r="D105" s="168"/>
      <c r="E105" s="161"/>
      <c r="F105" s="50"/>
      <c r="G105" s="50"/>
      <c r="H105" s="50"/>
      <c r="I105" s="52"/>
      <c r="J105" s="3"/>
      <c r="L105" s="149"/>
      <c r="M105" s="157"/>
      <c r="N105" s="157"/>
      <c r="O105" s="160"/>
      <c r="P105" s="156"/>
      <c r="Q105" s="36"/>
      <c r="R105" s="34"/>
      <c r="S105" s="35"/>
      <c r="T105" s="60"/>
      <c r="W105" s="115" t="str">
        <f t="shared" ref="W105:W108" si="32">IF(A105=0, "",A105)</f>
        <v/>
      </c>
    </row>
    <row r="106" spans="1:23" ht="16.149999999999999" customHeight="1" x14ac:dyDescent="0.2">
      <c r="A106" s="165"/>
      <c r="B106" s="165"/>
      <c r="C106" s="158"/>
      <c r="D106" s="166"/>
      <c r="E106" s="162"/>
      <c r="F106" s="17"/>
      <c r="G106" s="17"/>
      <c r="H106" s="17"/>
      <c r="I106" s="48"/>
      <c r="J106" s="3"/>
      <c r="L106" s="150"/>
      <c r="M106" s="158"/>
      <c r="N106" s="158"/>
      <c r="O106" s="152"/>
      <c r="P106" s="154"/>
      <c r="Q106" s="31"/>
      <c r="R106" s="26"/>
      <c r="S106" s="27"/>
      <c r="T106" s="61"/>
      <c r="W106" s="115" t="str">
        <f t="shared" si="32"/>
        <v/>
      </c>
    </row>
    <row r="107" spans="1:23" ht="16.149999999999999" customHeight="1" x14ac:dyDescent="0.2">
      <c r="A107" s="165"/>
      <c r="B107" s="165"/>
      <c r="C107" s="158"/>
      <c r="D107" s="152"/>
      <c r="E107" s="163"/>
      <c r="F107" s="17"/>
      <c r="G107" s="17"/>
      <c r="H107" s="17"/>
      <c r="I107" s="48"/>
      <c r="L107" s="150"/>
      <c r="M107" s="158"/>
      <c r="N107" s="158"/>
      <c r="O107" s="152"/>
      <c r="P107" s="154"/>
      <c r="Q107" s="31"/>
      <c r="R107" s="26"/>
      <c r="S107" s="27"/>
      <c r="T107" s="61"/>
      <c r="W107" s="115" t="str">
        <f t="shared" si="32"/>
        <v/>
      </c>
    </row>
    <row r="108" spans="1:23" ht="16.149999999999999" customHeight="1" thickBot="1" x14ac:dyDescent="0.25">
      <c r="A108" s="164"/>
      <c r="B108" s="164"/>
      <c r="C108" s="159"/>
      <c r="D108" s="153"/>
      <c r="E108" s="164"/>
      <c r="F108" s="33"/>
      <c r="G108" s="33"/>
      <c r="H108" s="33"/>
      <c r="I108" s="41"/>
      <c r="L108" s="151"/>
      <c r="M108" s="159"/>
      <c r="N108" s="159"/>
      <c r="O108" s="153"/>
      <c r="P108" s="155"/>
      <c r="Q108" s="37"/>
      <c r="R108" s="28"/>
      <c r="S108" s="29"/>
      <c r="T108" s="62"/>
      <c r="W108" s="115" t="str">
        <f t="shared" si="32"/>
        <v/>
      </c>
    </row>
    <row r="109" spans="1:23" ht="16.149999999999999" customHeight="1" x14ac:dyDescent="0.2">
      <c r="A109" s="161"/>
      <c r="B109" s="161"/>
      <c r="C109" s="157"/>
      <c r="D109" s="168"/>
      <c r="E109" s="161"/>
      <c r="F109" s="50"/>
      <c r="G109" s="50"/>
      <c r="H109" s="50"/>
      <c r="I109" s="52"/>
      <c r="J109" s="3"/>
      <c r="L109" s="149"/>
      <c r="M109" s="157"/>
      <c r="N109" s="157"/>
      <c r="O109" s="160"/>
      <c r="P109" s="156"/>
      <c r="Q109" s="36"/>
      <c r="R109" s="34"/>
      <c r="S109" s="35"/>
      <c r="T109" s="60"/>
      <c r="W109" s="115" t="str">
        <f t="shared" si="8"/>
        <v/>
      </c>
    </row>
    <row r="110" spans="1:23" ht="16.149999999999999" customHeight="1" x14ac:dyDescent="0.2">
      <c r="A110" s="165"/>
      <c r="B110" s="165"/>
      <c r="C110" s="158"/>
      <c r="D110" s="166"/>
      <c r="E110" s="162"/>
      <c r="F110" s="17"/>
      <c r="G110" s="17"/>
      <c r="H110" s="17"/>
      <c r="I110" s="48"/>
      <c r="J110" s="3"/>
      <c r="L110" s="150"/>
      <c r="M110" s="158"/>
      <c r="N110" s="158"/>
      <c r="O110" s="152"/>
      <c r="P110" s="154"/>
      <c r="Q110" s="31"/>
      <c r="R110" s="26"/>
      <c r="S110" s="27"/>
      <c r="T110" s="61"/>
      <c r="W110" s="115" t="str">
        <f t="shared" si="8"/>
        <v/>
      </c>
    </row>
    <row r="111" spans="1:23" ht="16.149999999999999" customHeight="1" x14ac:dyDescent="0.2">
      <c r="A111" s="165"/>
      <c r="B111" s="165"/>
      <c r="C111" s="158"/>
      <c r="D111" s="166"/>
      <c r="E111" s="163"/>
      <c r="F111" s="17"/>
      <c r="G111" s="17"/>
      <c r="H111" s="17"/>
      <c r="I111" s="48"/>
      <c r="L111" s="150"/>
      <c r="M111" s="158"/>
      <c r="N111" s="158"/>
      <c r="O111" s="152"/>
      <c r="P111" s="154"/>
      <c r="Q111" s="31"/>
      <c r="R111" s="26"/>
      <c r="S111" s="27"/>
      <c r="T111" s="61"/>
      <c r="W111" s="115" t="str">
        <f t="shared" si="8"/>
        <v/>
      </c>
    </row>
    <row r="112" spans="1:23" ht="16.149999999999999" customHeight="1" thickBot="1" x14ac:dyDescent="0.25">
      <c r="A112" s="164"/>
      <c r="B112" s="164"/>
      <c r="C112" s="159"/>
      <c r="D112" s="167"/>
      <c r="E112" s="164"/>
      <c r="F112" s="33"/>
      <c r="G112" s="33"/>
      <c r="H112" s="33"/>
      <c r="I112" s="41"/>
      <c r="L112" s="151"/>
      <c r="M112" s="159"/>
      <c r="N112" s="159"/>
      <c r="O112" s="153"/>
      <c r="P112" s="155"/>
      <c r="Q112" s="37"/>
      <c r="R112" s="28"/>
      <c r="S112" s="29"/>
      <c r="T112" s="62"/>
      <c r="W112" s="115" t="str">
        <f t="shared" si="8"/>
        <v/>
      </c>
    </row>
    <row r="113" spans="1:23" ht="16.149999999999999" customHeight="1" x14ac:dyDescent="0.2">
      <c r="A113" s="161"/>
      <c r="B113" s="161"/>
      <c r="C113" s="157"/>
      <c r="D113" s="168"/>
      <c r="E113" s="161"/>
      <c r="F113" s="50"/>
      <c r="G113" s="50"/>
      <c r="H113" s="50"/>
      <c r="I113" s="52"/>
      <c r="J113" s="3"/>
      <c r="L113" s="149"/>
      <c r="M113" s="157"/>
      <c r="N113" s="157"/>
      <c r="O113" s="160"/>
      <c r="P113" s="156"/>
      <c r="Q113" s="36"/>
      <c r="R113" s="34"/>
      <c r="S113" s="35"/>
      <c r="T113" s="60"/>
      <c r="W113" s="115" t="str">
        <f t="shared" si="8"/>
        <v/>
      </c>
    </row>
    <row r="114" spans="1:23" ht="16.149999999999999" customHeight="1" x14ac:dyDescent="0.2">
      <c r="A114" s="165"/>
      <c r="B114" s="165"/>
      <c r="C114" s="158"/>
      <c r="D114" s="166"/>
      <c r="E114" s="162"/>
      <c r="F114" s="17"/>
      <c r="G114" s="17"/>
      <c r="H114" s="17"/>
      <c r="I114" s="48"/>
      <c r="J114" s="3"/>
      <c r="L114" s="150"/>
      <c r="M114" s="158"/>
      <c r="N114" s="158"/>
      <c r="O114" s="152"/>
      <c r="P114" s="154"/>
      <c r="Q114" s="31"/>
      <c r="R114" s="26"/>
      <c r="S114" s="27"/>
      <c r="T114" s="61"/>
      <c r="W114" s="115" t="str">
        <f t="shared" si="8"/>
        <v/>
      </c>
    </row>
    <row r="115" spans="1:23" ht="16.149999999999999" customHeight="1" x14ac:dyDescent="0.2">
      <c r="A115" s="165"/>
      <c r="B115" s="165"/>
      <c r="C115" s="158"/>
      <c r="D115" s="166"/>
      <c r="E115" s="163"/>
      <c r="F115" s="17"/>
      <c r="G115" s="17"/>
      <c r="H115" s="17"/>
      <c r="I115" s="48"/>
      <c r="L115" s="150"/>
      <c r="M115" s="158"/>
      <c r="N115" s="158"/>
      <c r="O115" s="152"/>
      <c r="P115" s="154"/>
      <c r="Q115" s="31"/>
      <c r="R115" s="26"/>
      <c r="S115" s="27"/>
      <c r="T115" s="61"/>
      <c r="W115" s="115" t="str">
        <f t="shared" si="8"/>
        <v/>
      </c>
    </row>
    <row r="116" spans="1:23" ht="16.149999999999999" customHeight="1" thickBot="1" x14ac:dyDescent="0.25">
      <c r="A116" s="164"/>
      <c r="B116" s="164"/>
      <c r="C116" s="159"/>
      <c r="D116" s="167"/>
      <c r="E116" s="164"/>
      <c r="F116" s="33"/>
      <c r="G116" s="33"/>
      <c r="H116" s="33"/>
      <c r="I116" s="41"/>
      <c r="L116" s="151"/>
      <c r="M116" s="159"/>
      <c r="N116" s="159"/>
      <c r="O116" s="153"/>
      <c r="P116" s="155"/>
      <c r="Q116" s="37"/>
      <c r="R116" s="28"/>
      <c r="S116" s="29"/>
      <c r="T116" s="62"/>
      <c r="W116" s="115" t="str">
        <f t="shared" si="8"/>
        <v/>
      </c>
    </row>
    <row r="117" spans="1:23" x14ac:dyDescent="0.2">
      <c r="A117" s="17"/>
      <c r="B117" s="17"/>
      <c r="C117" s="17"/>
      <c r="D117" s="18"/>
      <c r="E117" s="18"/>
      <c r="F117" s="18"/>
      <c r="G117" s="18"/>
      <c r="H117" s="18"/>
      <c r="I117" s="17"/>
    </row>
    <row r="118" spans="1:23" x14ac:dyDescent="0.2">
      <c r="A118" s="17"/>
      <c r="B118" s="17"/>
      <c r="C118" s="17"/>
      <c r="D118" s="18"/>
      <c r="E118" s="18"/>
      <c r="F118" s="18"/>
      <c r="G118" s="18"/>
      <c r="H118" s="18"/>
      <c r="I118" s="17"/>
    </row>
    <row r="119" spans="1:23" x14ac:dyDescent="0.2">
      <c r="A119" s="17"/>
      <c r="B119" s="17"/>
      <c r="C119" s="17"/>
      <c r="D119" s="18"/>
      <c r="E119" s="18"/>
      <c r="F119" s="18"/>
      <c r="G119" s="18"/>
      <c r="H119" s="18"/>
      <c r="I119" s="17"/>
    </row>
    <row r="120" spans="1:23" x14ac:dyDescent="0.2">
      <c r="A120" s="17"/>
      <c r="B120" s="17"/>
      <c r="C120" s="17"/>
      <c r="D120" s="18"/>
      <c r="E120" s="18"/>
      <c r="F120" s="18"/>
      <c r="G120" s="18"/>
      <c r="H120" s="18"/>
      <c r="I120" s="17"/>
    </row>
    <row r="121" spans="1:23" x14ac:dyDescent="0.2">
      <c r="A121" s="17"/>
      <c r="B121" s="17"/>
      <c r="C121" s="17"/>
      <c r="D121" s="18"/>
      <c r="E121" s="18"/>
      <c r="F121" s="18"/>
      <c r="G121" s="18"/>
      <c r="H121" s="18"/>
      <c r="I121" s="17"/>
    </row>
    <row r="122" spans="1:23" x14ac:dyDescent="0.2">
      <c r="A122" s="17"/>
      <c r="B122" s="17"/>
      <c r="C122" s="17"/>
      <c r="D122" s="18"/>
      <c r="E122" s="18"/>
      <c r="F122" s="18"/>
      <c r="G122" s="18"/>
      <c r="H122" s="18"/>
      <c r="I122" s="17"/>
    </row>
    <row r="123" spans="1:23" x14ac:dyDescent="0.2">
      <c r="A123" s="17"/>
      <c r="B123" s="17"/>
      <c r="C123" s="17"/>
      <c r="D123" s="18"/>
      <c r="E123" s="18"/>
      <c r="F123" s="18"/>
      <c r="G123" s="18"/>
      <c r="H123" s="18"/>
      <c r="I123" s="17"/>
    </row>
    <row r="124" spans="1:23" x14ac:dyDescent="0.2">
      <c r="A124" s="17"/>
      <c r="B124" s="17"/>
      <c r="C124" s="17"/>
      <c r="D124" s="18"/>
      <c r="E124" s="18"/>
      <c r="F124" s="18"/>
      <c r="G124" s="18"/>
      <c r="H124" s="18"/>
      <c r="I124" s="17"/>
    </row>
    <row r="125" spans="1:23" x14ac:dyDescent="0.2">
      <c r="A125" s="17"/>
      <c r="B125" s="17"/>
      <c r="C125" s="17"/>
      <c r="D125" s="18"/>
      <c r="E125" s="18"/>
      <c r="F125" s="18"/>
      <c r="G125" s="18"/>
      <c r="H125" s="18"/>
      <c r="I125" s="17"/>
    </row>
    <row r="126" spans="1:23" x14ac:dyDescent="0.2">
      <c r="A126" s="17"/>
      <c r="B126" s="17"/>
      <c r="C126" s="17"/>
      <c r="D126" s="18"/>
      <c r="E126" s="18"/>
      <c r="F126" s="18"/>
      <c r="G126" s="18"/>
      <c r="H126" s="18"/>
      <c r="I126" s="17"/>
    </row>
    <row r="127" spans="1:23" x14ac:dyDescent="0.2">
      <c r="A127" s="17"/>
      <c r="B127" s="17"/>
      <c r="C127" s="17"/>
      <c r="D127" s="18"/>
      <c r="E127" s="18"/>
      <c r="F127" s="18"/>
      <c r="G127" s="18"/>
      <c r="H127" s="18"/>
      <c r="I127" s="17"/>
    </row>
    <row r="128" spans="1:23" x14ac:dyDescent="0.2">
      <c r="A128" s="17"/>
      <c r="B128" s="17"/>
      <c r="C128" s="17"/>
      <c r="D128" s="18"/>
      <c r="E128" s="18"/>
      <c r="F128" s="18"/>
      <c r="G128" s="18"/>
      <c r="H128" s="18"/>
      <c r="I128" s="17"/>
    </row>
    <row r="129" spans="1:13" x14ac:dyDescent="0.2">
      <c r="A129" s="17"/>
      <c r="B129" s="17"/>
      <c r="C129" s="17"/>
      <c r="D129" s="18"/>
      <c r="E129" s="18"/>
      <c r="F129" s="18"/>
      <c r="G129" s="18"/>
      <c r="H129" s="18"/>
      <c r="I129" s="17"/>
    </row>
    <row r="130" spans="1:13" x14ac:dyDescent="0.2">
      <c r="A130" s="17"/>
      <c r="B130" s="17"/>
      <c r="C130" s="17"/>
      <c r="D130" s="18"/>
      <c r="E130" s="18"/>
      <c r="F130" s="18"/>
      <c r="G130" s="18"/>
      <c r="H130" s="18"/>
      <c r="I130" s="17"/>
    </row>
    <row r="131" spans="1:13" x14ac:dyDescent="0.2">
      <c r="A131" s="17"/>
      <c r="B131" s="17"/>
      <c r="C131" s="17"/>
      <c r="D131" s="18"/>
      <c r="E131" s="18"/>
      <c r="F131" s="18"/>
      <c r="G131" s="18"/>
      <c r="H131" s="18"/>
      <c r="I131" s="17"/>
      <c r="M131" s="4" t="s">
        <v>131</v>
      </c>
    </row>
    <row r="132" spans="1:13" x14ac:dyDescent="0.2">
      <c r="A132" s="17"/>
      <c r="B132" s="17"/>
      <c r="C132" s="17"/>
      <c r="D132" s="18"/>
      <c r="E132" s="18"/>
      <c r="F132" s="18"/>
      <c r="G132" s="18"/>
      <c r="H132" s="18"/>
      <c r="I132" s="17"/>
    </row>
    <row r="133" spans="1:13" x14ac:dyDescent="0.2">
      <c r="A133" s="17"/>
      <c r="B133" s="17"/>
      <c r="C133" s="17"/>
      <c r="D133" s="18"/>
      <c r="E133" s="18"/>
      <c r="F133" s="18"/>
      <c r="G133" s="18"/>
      <c r="H133" s="18"/>
      <c r="I133" s="17"/>
    </row>
    <row r="134" spans="1:13" x14ac:dyDescent="0.2">
      <c r="A134" s="17"/>
      <c r="B134" s="17"/>
      <c r="C134" s="17"/>
      <c r="D134" s="18"/>
      <c r="E134" s="18"/>
      <c r="F134" s="18"/>
      <c r="G134" s="18"/>
      <c r="H134" s="18"/>
      <c r="I134" s="17"/>
    </row>
    <row r="135" spans="1:13" x14ac:dyDescent="0.2">
      <c r="A135" s="17"/>
      <c r="B135" s="17"/>
      <c r="C135" s="17"/>
      <c r="D135" s="18"/>
      <c r="E135" s="18"/>
      <c r="F135" s="18"/>
      <c r="G135" s="18"/>
      <c r="H135" s="18"/>
      <c r="I135" s="17"/>
    </row>
    <row r="136" spans="1:13" x14ac:dyDescent="0.2">
      <c r="A136" s="17"/>
      <c r="B136" s="17"/>
      <c r="C136" s="17"/>
      <c r="D136" s="18"/>
      <c r="E136" s="18"/>
      <c r="F136" s="18"/>
      <c r="G136" s="18"/>
      <c r="H136" s="18"/>
      <c r="I136" s="17"/>
    </row>
    <row r="137" spans="1:13" x14ac:dyDescent="0.2">
      <c r="A137" s="17"/>
      <c r="B137" s="17"/>
      <c r="C137" s="17"/>
      <c r="D137" s="18"/>
      <c r="E137" s="18"/>
      <c r="F137" s="18"/>
      <c r="G137" s="18"/>
      <c r="H137" s="18"/>
      <c r="I137" s="17"/>
    </row>
    <row r="138" spans="1:13" x14ac:dyDescent="0.2">
      <c r="A138" s="17"/>
      <c r="B138" s="17"/>
      <c r="C138" s="17"/>
      <c r="D138" s="18"/>
      <c r="E138" s="18"/>
      <c r="F138" s="18"/>
      <c r="G138" s="18"/>
      <c r="H138" s="18"/>
      <c r="I138" s="17"/>
    </row>
    <row r="139" spans="1:13" x14ac:dyDescent="0.2">
      <c r="A139" s="17"/>
      <c r="B139" s="17"/>
      <c r="C139" s="17"/>
      <c r="D139" s="18"/>
      <c r="E139" s="18"/>
      <c r="F139" s="18"/>
      <c r="G139" s="18"/>
      <c r="H139" s="18"/>
      <c r="I139" s="17"/>
    </row>
    <row r="140" spans="1:13" x14ac:dyDescent="0.2">
      <c r="A140" s="17"/>
      <c r="B140" s="17"/>
      <c r="C140" s="17"/>
      <c r="D140" s="18"/>
      <c r="E140" s="18"/>
      <c r="F140" s="18"/>
      <c r="G140" s="18"/>
      <c r="H140" s="18"/>
      <c r="I140" s="17"/>
    </row>
    <row r="141" spans="1:13" x14ac:dyDescent="0.2">
      <c r="A141" s="17"/>
      <c r="B141" s="17"/>
      <c r="C141" s="17"/>
      <c r="D141" s="18"/>
      <c r="E141" s="18"/>
      <c r="F141" s="18"/>
      <c r="G141" s="18"/>
      <c r="H141" s="18"/>
      <c r="I141" s="17"/>
    </row>
    <row r="142" spans="1:13" x14ac:dyDescent="0.2">
      <c r="A142" s="17"/>
      <c r="B142" s="17"/>
      <c r="C142" s="17"/>
      <c r="D142" s="18"/>
      <c r="E142" s="18"/>
      <c r="F142" s="18"/>
      <c r="G142" s="18"/>
      <c r="H142" s="18"/>
      <c r="I142" s="17"/>
    </row>
    <row r="143" spans="1:13" x14ac:dyDescent="0.2">
      <c r="A143" s="17"/>
      <c r="B143" s="17"/>
      <c r="C143" s="17"/>
      <c r="D143" s="18"/>
      <c r="E143" s="18"/>
      <c r="F143" s="18"/>
      <c r="G143" s="18"/>
      <c r="H143" s="18"/>
      <c r="I143" s="17"/>
    </row>
    <row r="144" spans="1:13" x14ac:dyDescent="0.2">
      <c r="A144" s="17"/>
      <c r="B144" s="17"/>
      <c r="C144" s="17"/>
      <c r="D144" s="18"/>
      <c r="E144" s="18"/>
      <c r="F144" s="18"/>
      <c r="G144" s="18"/>
      <c r="H144" s="18"/>
      <c r="I144" s="17"/>
    </row>
    <row r="145" spans="1:9" x14ac:dyDescent="0.2">
      <c r="A145" s="17"/>
      <c r="B145" s="17"/>
      <c r="C145" s="17"/>
      <c r="D145" s="18"/>
      <c r="E145" s="18"/>
      <c r="F145" s="18"/>
      <c r="G145" s="18"/>
      <c r="H145" s="18"/>
      <c r="I145" s="17"/>
    </row>
    <row r="146" spans="1:9" x14ac:dyDescent="0.2">
      <c r="A146" s="17"/>
      <c r="B146" s="17"/>
      <c r="C146" s="17"/>
      <c r="D146" s="18"/>
      <c r="E146" s="18"/>
      <c r="F146" s="18"/>
      <c r="G146" s="18"/>
      <c r="H146" s="18"/>
      <c r="I146" s="17"/>
    </row>
    <row r="147" spans="1:9" x14ac:dyDescent="0.2">
      <c r="A147" s="17"/>
      <c r="B147" s="17"/>
      <c r="C147" s="17"/>
      <c r="D147" s="18"/>
      <c r="E147" s="18"/>
      <c r="F147" s="18"/>
      <c r="G147" s="18"/>
      <c r="H147" s="18"/>
      <c r="I147" s="17"/>
    </row>
    <row r="148" spans="1:9" x14ac:dyDescent="0.2">
      <c r="A148" s="17"/>
      <c r="B148" s="17"/>
      <c r="C148" s="17"/>
      <c r="D148" s="18"/>
      <c r="E148" s="18"/>
      <c r="F148" s="18"/>
      <c r="G148" s="18"/>
      <c r="H148" s="18"/>
      <c r="I148" s="17"/>
    </row>
    <row r="149" spans="1:9" x14ac:dyDescent="0.2">
      <c r="A149" s="17"/>
      <c r="B149" s="17"/>
      <c r="C149" s="17"/>
      <c r="D149" s="18"/>
      <c r="E149" s="18"/>
      <c r="F149" s="18"/>
      <c r="G149" s="18"/>
      <c r="H149" s="18"/>
      <c r="I149" s="17"/>
    </row>
    <row r="150" spans="1:9" x14ac:dyDescent="0.2">
      <c r="A150" s="17"/>
      <c r="B150" s="17"/>
      <c r="C150" s="17"/>
      <c r="D150" s="18"/>
      <c r="E150" s="18"/>
      <c r="F150" s="18"/>
      <c r="G150" s="18"/>
      <c r="H150" s="18"/>
      <c r="I150" s="17"/>
    </row>
    <row r="151" spans="1:9" x14ac:dyDescent="0.2">
      <c r="A151" s="17"/>
      <c r="B151" s="17"/>
      <c r="C151" s="17"/>
      <c r="D151" s="18"/>
      <c r="E151" s="18"/>
      <c r="F151" s="18"/>
      <c r="G151" s="18"/>
      <c r="H151" s="18"/>
      <c r="I151" s="17"/>
    </row>
    <row r="152" spans="1:9" x14ac:dyDescent="0.2">
      <c r="A152" s="17"/>
      <c r="B152" s="17"/>
      <c r="C152" s="17"/>
      <c r="D152" s="18"/>
      <c r="E152" s="18"/>
      <c r="F152" s="18"/>
      <c r="G152" s="18"/>
      <c r="H152" s="18"/>
      <c r="I152" s="17"/>
    </row>
    <row r="153" spans="1:9" x14ac:dyDescent="0.2">
      <c r="A153" s="17"/>
      <c r="B153" s="17"/>
      <c r="C153" s="17"/>
      <c r="D153" s="18"/>
      <c r="E153" s="18"/>
      <c r="F153" s="18"/>
      <c r="G153" s="18"/>
      <c r="H153" s="18"/>
      <c r="I153" s="17"/>
    </row>
    <row r="154" spans="1:9" x14ac:dyDescent="0.2">
      <c r="A154" s="17"/>
      <c r="B154" s="17"/>
      <c r="C154" s="17"/>
      <c r="D154" s="18"/>
      <c r="E154" s="18"/>
      <c r="F154" s="18"/>
      <c r="G154" s="18"/>
      <c r="H154" s="18"/>
      <c r="I154" s="17"/>
    </row>
    <row r="155" spans="1:9" x14ac:dyDescent="0.2">
      <c r="A155" s="17"/>
      <c r="B155" s="17"/>
      <c r="C155" s="17"/>
      <c r="D155" s="18"/>
      <c r="E155" s="18"/>
      <c r="F155" s="18"/>
      <c r="G155" s="18"/>
      <c r="H155" s="18"/>
      <c r="I155" s="17"/>
    </row>
    <row r="156" spans="1:9" x14ac:dyDescent="0.2">
      <c r="A156" s="17"/>
      <c r="B156" s="17"/>
      <c r="C156" s="17"/>
      <c r="D156" s="18"/>
      <c r="E156" s="18"/>
      <c r="F156" s="18"/>
      <c r="G156" s="18"/>
      <c r="H156" s="18"/>
      <c r="I156" s="17"/>
    </row>
    <row r="157" spans="1:9" x14ac:dyDescent="0.2">
      <c r="A157" s="17"/>
      <c r="B157" s="17"/>
      <c r="C157" s="17"/>
      <c r="D157" s="18"/>
      <c r="E157" s="18"/>
      <c r="F157" s="18"/>
      <c r="G157" s="18"/>
      <c r="H157" s="18"/>
      <c r="I157" s="17"/>
    </row>
  </sheetData>
  <mergeCells count="374">
    <mergeCell ref="P49:P50"/>
    <mergeCell ref="D51:D52"/>
    <mergeCell ref="E51:E52"/>
    <mergeCell ref="O51:O52"/>
    <mergeCell ref="P51:P52"/>
    <mergeCell ref="A49:A52"/>
    <mergeCell ref="B49:B52"/>
    <mergeCell ref="C49:C52"/>
    <mergeCell ref="D49:D50"/>
    <mergeCell ref="E49:E50"/>
    <mergeCell ref="L49:L52"/>
    <mergeCell ref="M49:M52"/>
    <mergeCell ref="N49:N52"/>
    <mergeCell ref="O49:O50"/>
    <mergeCell ref="P45:P46"/>
    <mergeCell ref="D47:D48"/>
    <mergeCell ref="E47:E48"/>
    <mergeCell ref="O47:O48"/>
    <mergeCell ref="P47:P48"/>
    <mergeCell ref="A41:A44"/>
    <mergeCell ref="B41:B44"/>
    <mergeCell ref="C41:C44"/>
    <mergeCell ref="D41:D42"/>
    <mergeCell ref="E41:E42"/>
    <mergeCell ref="A45:A48"/>
    <mergeCell ref="B45:B48"/>
    <mergeCell ref="C45:C48"/>
    <mergeCell ref="D45:D46"/>
    <mergeCell ref="E45:E46"/>
    <mergeCell ref="L45:L48"/>
    <mergeCell ref="M45:M48"/>
    <mergeCell ref="N45:N48"/>
    <mergeCell ref="O45:O46"/>
    <mergeCell ref="L41:L44"/>
    <mergeCell ref="M41:M44"/>
    <mergeCell ref="N41:N44"/>
    <mergeCell ref="O41:O42"/>
    <mergeCell ref="P33:P34"/>
    <mergeCell ref="D35:D36"/>
    <mergeCell ref="E35:E36"/>
    <mergeCell ref="O35:O36"/>
    <mergeCell ref="P35:P36"/>
    <mergeCell ref="P37:P38"/>
    <mergeCell ref="P39:P40"/>
    <mergeCell ref="P41:P42"/>
    <mergeCell ref="D43:D44"/>
    <mergeCell ref="E43:E44"/>
    <mergeCell ref="O43:O44"/>
    <mergeCell ref="P43:P44"/>
    <mergeCell ref="A37:A40"/>
    <mergeCell ref="B37:B40"/>
    <mergeCell ref="C37:C40"/>
    <mergeCell ref="D37:D38"/>
    <mergeCell ref="E37:E38"/>
    <mergeCell ref="L37:L40"/>
    <mergeCell ref="M37:M40"/>
    <mergeCell ref="N37:N40"/>
    <mergeCell ref="O37:O38"/>
    <mergeCell ref="D39:D40"/>
    <mergeCell ref="E39:E40"/>
    <mergeCell ref="O39:O40"/>
    <mergeCell ref="A33:A36"/>
    <mergeCell ref="B33:B36"/>
    <mergeCell ref="C33:C36"/>
    <mergeCell ref="D33:D34"/>
    <mergeCell ref="E33:E34"/>
    <mergeCell ref="L33:L36"/>
    <mergeCell ref="M33:M36"/>
    <mergeCell ref="N33:N36"/>
    <mergeCell ref="O33:O34"/>
    <mergeCell ref="P25:P26"/>
    <mergeCell ref="D27:D28"/>
    <mergeCell ref="E27:E28"/>
    <mergeCell ref="O27:O28"/>
    <mergeCell ref="P27:P28"/>
    <mergeCell ref="A29:A32"/>
    <mergeCell ref="B29:B32"/>
    <mergeCell ref="C29:C32"/>
    <mergeCell ref="D29:D30"/>
    <mergeCell ref="E29:E30"/>
    <mergeCell ref="L29:L32"/>
    <mergeCell ref="M29:M32"/>
    <mergeCell ref="N29:N32"/>
    <mergeCell ref="O29:O30"/>
    <mergeCell ref="P29:P30"/>
    <mergeCell ref="D31:D32"/>
    <mergeCell ref="E31:E32"/>
    <mergeCell ref="O31:O32"/>
    <mergeCell ref="P31:P32"/>
    <mergeCell ref="A17:A28"/>
    <mergeCell ref="O17:O18"/>
    <mergeCell ref="B25:B28"/>
    <mergeCell ref="C25:C28"/>
    <mergeCell ref="D25:D26"/>
    <mergeCell ref="P17:P18"/>
    <mergeCell ref="D19:D20"/>
    <mergeCell ref="E19:E20"/>
    <mergeCell ref="O19:O20"/>
    <mergeCell ref="P19:P20"/>
    <mergeCell ref="B21:B24"/>
    <mergeCell ref="C21:C24"/>
    <mergeCell ref="D21:D22"/>
    <mergeCell ref="E21:E22"/>
    <mergeCell ref="M21:M24"/>
    <mergeCell ref="N21:N24"/>
    <mergeCell ref="O21:O22"/>
    <mergeCell ref="P21:P22"/>
    <mergeCell ref="D23:D24"/>
    <mergeCell ref="E23:E24"/>
    <mergeCell ref="O23:O24"/>
    <mergeCell ref="P23:P24"/>
    <mergeCell ref="B17:B20"/>
    <mergeCell ref="C17:C20"/>
    <mergeCell ref="D17:D18"/>
    <mergeCell ref="E17:E18"/>
    <mergeCell ref="L17:L28"/>
    <mergeCell ref="M17:M20"/>
    <mergeCell ref="N17:N20"/>
    <mergeCell ref="E25:E26"/>
    <mergeCell ref="M25:M28"/>
    <mergeCell ref="N25:N28"/>
    <mergeCell ref="O25:O26"/>
    <mergeCell ref="P85:P86"/>
    <mergeCell ref="D87:D88"/>
    <mergeCell ref="E87:E88"/>
    <mergeCell ref="O87:O88"/>
    <mergeCell ref="P87:P88"/>
    <mergeCell ref="P77:P78"/>
    <mergeCell ref="D79:D80"/>
    <mergeCell ref="E79:E80"/>
    <mergeCell ref="O79:O80"/>
    <mergeCell ref="P79:P80"/>
    <mergeCell ref="P69:P70"/>
    <mergeCell ref="D71:D72"/>
    <mergeCell ref="E71:E72"/>
    <mergeCell ref="O71:O72"/>
    <mergeCell ref="P71:P72"/>
    <mergeCell ref="P61:P62"/>
    <mergeCell ref="D63:D64"/>
    <mergeCell ref="E63:E64"/>
    <mergeCell ref="O63:O64"/>
    <mergeCell ref="P63:P64"/>
    <mergeCell ref="P81:P82"/>
    <mergeCell ref="D83:D84"/>
    <mergeCell ref="E83:E84"/>
    <mergeCell ref="O83:O84"/>
    <mergeCell ref="P83:P84"/>
    <mergeCell ref="B89:B92"/>
    <mergeCell ref="C89:C92"/>
    <mergeCell ref="D89:D90"/>
    <mergeCell ref="E89:E90"/>
    <mergeCell ref="M89:M92"/>
    <mergeCell ref="N89:N92"/>
    <mergeCell ref="O89:O90"/>
    <mergeCell ref="P89:P90"/>
    <mergeCell ref="D91:D92"/>
    <mergeCell ref="E91:E92"/>
    <mergeCell ref="O91:O92"/>
    <mergeCell ref="P91:P92"/>
    <mergeCell ref="A77:A92"/>
    <mergeCell ref="B77:B80"/>
    <mergeCell ref="C77:C80"/>
    <mergeCell ref="D77:D78"/>
    <mergeCell ref="E77:E78"/>
    <mergeCell ref="L77:L92"/>
    <mergeCell ref="M77:M80"/>
    <mergeCell ref="N77:N80"/>
    <mergeCell ref="O77:O78"/>
    <mergeCell ref="B85:B88"/>
    <mergeCell ref="C85:C88"/>
    <mergeCell ref="D85:D86"/>
    <mergeCell ref="E85:E86"/>
    <mergeCell ref="M85:M88"/>
    <mergeCell ref="N85:N88"/>
    <mergeCell ref="O85:O86"/>
    <mergeCell ref="B81:B84"/>
    <mergeCell ref="C81:C84"/>
    <mergeCell ref="D81:D82"/>
    <mergeCell ref="E81:E82"/>
    <mergeCell ref="M81:M84"/>
    <mergeCell ref="N81:N84"/>
    <mergeCell ref="O81:O82"/>
    <mergeCell ref="P65:P66"/>
    <mergeCell ref="D67:D68"/>
    <mergeCell ref="E67:E68"/>
    <mergeCell ref="O67:O68"/>
    <mergeCell ref="P67:P68"/>
    <mergeCell ref="B73:B76"/>
    <mergeCell ref="C73:C76"/>
    <mergeCell ref="D73:D74"/>
    <mergeCell ref="E73:E74"/>
    <mergeCell ref="M73:M76"/>
    <mergeCell ref="N73:N76"/>
    <mergeCell ref="O73:O74"/>
    <mergeCell ref="P73:P74"/>
    <mergeCell ref="D75:D76"/>
    <mergeCell ref="E75:E76"/>
    <mergeCell ref="O75:O76"/>
    <mergeCell ref="P75:P76"/>
    <mergeCell ref="A61:A76"/>
    <mergeCell ref="B61:B64"/>
    <mergeCell ref="C61:C64"/>
    <mergeCell ref="D61:D62"/>
    <mergeCell ref="E61:E62"/>
    <mergeCell ref="L61:L76"/>
    <mergeCell ref="M61:M64"/>
    <mergeCell ref="N61:N64"/>
    <mergeCell ref="O61:O62"/>
    <mergeCell ref="B69:B72"/>
    <mergeCell ref="C69:C72"/>
    <mergeCell ref="D69:D70"/>
    <mergeCell ref="E69:E70"/>
    <mergeCell ref="M69:M72"/>
    <mergeCell ref="N69:N72"/>
    <mergeCell ref="O69:O70"/>
    <mergeCell ref="B65:B68"/>
    <mergeCell ref="C65:C68"/>
    <mergeCell ref="D65:D66"/>
    <mergeCell ref="E65:E66"/>
    <mergeCell ref="M65:M68"/>
    <mergeCell ref="N65:N68"/>
    <mergeCell ref="O65:O66"/>
    <mergeCell ref="P59:P60"/>
    <mergeCell ref="P53:P54"/>
    <mergeCell ref="B55:B58"/>
    <mergeCell ref="C55:C58"/>
    <mergeCell ref="D55:D56"/>
    <mergeCell ref="E55:E56"/>
    <mergeCell ref="M55:M58"/>
    <mergeCell ref="N55:N58"/>
    <mergeCell ref="O55:O56"/>
    <mergeCell ref="P55:P56"/>
    <mergeCell ref="D57:D58"/>
    <mergeCell ref="E57:E58"/>
    <mergeCell ref="O57:O58"/>
    <mergeCell ref="P57:P58"/>
    <mergeCell ref="A53:A60"/>
    <mergeCell ref="B53:B54"/>
    <mergeCell ref="C53:C54"/>
    <mergeCell ref="D53:D54"/>
    <mergeCell ref="E53:E54"/>
    <mergeCell ref="L53:L60"/>
    <mergeCell ref="M53:M54"/>
    <mergeCell ref="N53:N54"/>
    <mergeCell ref="O53:O54"/>
    <mergeCell ref="B59:B60"/>
    <mergeCell ref="C59:C60"/>
    <mergeCell ref="M59:M60"/>
    <mergeCell ref="N59:N60"/>
    <mergeCell ref="D59:D60"/>
    <mergeCell ref="E59:E60"/>
    <mergeCell ref="O59:O60"/>
    <mergeCell ref="A105:A108"/>
    <mergeCell ref="L105:L108"/>
    <mergeCell ref="P103:P104"/>
    <mergeCell ref="L101:L104"/>
    <mergeCell ref="M101:M104"/>
    <mergeCell ref="N101:N104"/>
    <mergeCell ref="O101:O102"/>
    <mergeCell ref="O113:O114"/>
    <mergeCell ref="M113:M116"/>
    <mergeCell ref="N113:N116"/>
    <mergeCell ref="L109:L112"/>
    <mergeCell ref="M109:M112"/>
    <mergeCell ref="N109:N112"/>
    <mergeCell ref="O109:O110"/>
    <mergeCell ref="O111:O112"/>
    <mergeCell ref="P111:P112"/>
    <mergeCell ref="A109:A112"/>
    <mergeCell ref="B109:B112"/>
    <mergeCell ref="C109:C112"/>
    <mergeCell ref="D109:D110"/>
    <mergeCell ref="E109:E110"/>
    <mergeCell ref="D111:D112"/>
    <mergeCell ref="E111:E112"/>
    <mergeCell ref="O115:O116"/>
    <mergeCell ref="O7:O8"/>
    <mergeCell ref="P7:P8"/>
    <mergeCell ref="M13:M16"/>
    <mergeCell ref="P15:P16"/>
    <mergeCell ref="N13:N16"/>
    <mergeCell ref="P13:P14"/>
    <mergeCell ref="A97:A100"/>
    <mergeCell ref="B97:B100"/>
    <mergeCell ref="C97:C100"/>
    <mergeCell ref="D97:D98"/>
    <mergeCell ref="E97:E98"/>
    <mergeCell ref="D99:D100"/>
    <mergeCell ref="E99:E100"/>
    <mergeCell ref="L93:L96"/>
    <mergeCell ref="M93:M96"/>
    <mergeCell ref="N93:N96"/>
    <mergeCell ref="O93:O94"/>
    <mergeCell ref="P93:P94"/>
    <mergeCell ref="O95:O96"/>
    <mergeCell ref="P95:P96"/>
    <mergeCell ref="A93:A96"/>
    <mergeCell ref="B93:B96"/>
    <mergeCell ref="C93:C96"/>
    <mergeCell ref="D93:D94"/>
    <mergeCell ref="O13:O14"/>
    <mergeCell ref="A113:A116"/>
    <mergeCell ref="A101:A104"/>
    <mergeCell ref="B101:B104"/>
    <mergeCell ref="C101:C104"/>
    <mergeCell ref="D101:D102"/>
    <mergeCell ref="P9:P10"/>
    <mergeCell ref="D11:D12"/>
    <mergeCell ref="E11:E12"/>
    <mergeCell ref="O11:O12"/>
    <mergeCell ref="P11:P12"/>
    <mergeCell ref="E9:E10"/>
    <mergeCell ref="M9:M12"/>
    <mergeCell ref="O9:O10"/>
    <mergeCell ref="L5:L16"/>
    <mergeCell ref="M5:M8"/>
    <mergeCell ref="N5:N8"/>
    <mergeCell ref="O5:O6"/>
    <mergeCell ref="O15:O16"/>
    <mergeCell ref="D15:D16"/>
    <mergeCell ref="E15:E16"/>
    <mergeCell ref="N9:N12"/>
    <mergeCell ref="P5:P6"/>
    <mergeCell ref="D7:D8"/>
    <mergeCell ref="A5:A16"/>
    <mergeCell ref="B5:B8"/>
    <mergeCell ref="C5:C8"/>
    <mergeCell ref="D5:D6"/>
    <mergeCell ref="E5:E6"/>
    <mergeCell ref="B13:B16"/>
    <mergeCell ref="C13:C16"/>
    <mergeCell ref="D13:D14"/>
    <mergeCell ref="E13:E14"/>
    <mergeCell ref="B9:B12"/>
    <mergeCell ref="C9:C12"/>
    <mergeCell ref="D9:D10"/>
    <mergeCell ref="E7:E8"/>
    <mergeCell ref="E93:E94"/>
    <mergeCell ref="D95:D96"/>
    <mergeCell ref="E95:E96"/>
    <mergeCell ref="E101:E102"/>
    <mergeCell ref="D103:D104"/>
    <mergeCell ref="E103:E104"/>
    <mergeCell ref="B113:B116"/>
    <mergeCell ref="C113:C116"/>
    <mergeCell ref="D115:D116"/>
    <mergeCell ref="E115:E116"/>
    <mergeCell ref="D113:D114"/>
    <mergeCell ref="E113:E114"/>
    <mergeCell ref="B105:B108"/>
    <mergeCell ref="C105:C108"/>
    <mergeCell ref="D105:D106"/>
    <mergeCell ref="E105:E106"/>
    <mergeCell ref="D107:D108"/>
    <mergeCell ref="E107:E108"/>
    <mergeCell ref="L113:L116"/>
    <mergeCell ref="O99:O100"/>
    <mergeCell ref="P99:P100"/>
    <mergeCell ref="P115:P116"/>
    <mergeCell ref="P113:P114"/>
    <mergeCell ref="L97:L100"/>
    <mergeCell ref="M97:M100"/>
    <mergeCell ref="N97:N100"/>
    <mergeCell ref="O97:O98"/>
    <mergeCell ref="P97:P98"/>
    <mergeCell ref="P101:P102"/>
    <mergeCell ref="O103:O104"/>
    <mergeCell ref="P109:P110"/>
    <mergeCell ref="M105:M108"/>
    <mergeCell ref="N105:N108"/>
    <mergeCell ref="O105:O106"/>
    <mergeCell ref="P105:P106"/>
    <mergeCell ref="O107:O108"/>
    <mergeCell ref="P107:P108"/>
  </mergeCells>
  <conditionalFormatting sqref="T5:T116">
    <cfRule type="beginsWith" dxfId="1" priority="1" operator="beginsWith" text="FEMALE">
      <formula>LEFT(T5,LEN("FEMALE"))="FEMALE"</formula>
    </cfRule>
    <cfRule type="beginsWith" dxfId="0" priority="2" operator="beginsWith" text="MALE">
      <formula>LEFT(T5,LEN("MALE"))="MALE"</formula>
    </cfRule>
  </conditionalFormatting>
  <pageMargins left="0.25" right="0.25" top="0.75" bottom="0.75" header="0.3" footer="0.3"/>
  <pageSetup scale="94" fitToHeight="0" orientation="portrait" r:id="rId1"/>
  <headerFooter>
    <oddHeader>&amp;C&amp;"-,Bold"&amp;18&amp;A</oddHeader>
    <oddFooter>&amp;L&amp;D,
&amp;P of &amp;N&amp;R&amp;F</oddFooter>
  </headerFooter>
  <rowBreaks count="3" manualBreakCount="3">
    <brk id="44" min="11" max="19" man="1"/>
    <brk id="60" min="11" max="19" man="1"/>
    <brk id="92" min="11" max="1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0]!ClearSEG1Devices">
                <anchor moveWithCells="1" sizeWithCells="1">
                  <from>
                    <xdr:col>5</xdr:col>
                    <xdr:colOff>180975</xdr:colOff>
                    <xdr:row>0</xdr:row>
                    <xdr:rowOff>114300</xdr:rowOff>
                  </from>
                  <to>
                    <xdr:col>8</xdr:col>
                    <xdr:colOff>9525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4865-EFDA-4C8E-8CEA-9690B6487534}">
  <sheetPr codeName="Sheet4">
    <tabColor rgb="FF0070C0"/>
  </sheetPr>
  <dimension ref="A1:D777"/>
  <sheetViews>
    <sheetView view="pageBreakPreview" zoomScale="60" zoomScaleNormal="100" workbookViewId="0">
      <selection activeCell="F95" sqref="F95"/>
    </sheetView>
  </sheetViews>
  <sheetFormatPr defaultRowHeight="12.75" x14ac:dyDescent="0.2"/>
  <cols>
    <col min="1" max="1" width="12.5703125" bestFit="1" customWidth="1"/>
    <col min="2" max="2" width="11.28515625" style="2" customWidth="1"/>
    <col min="3" max="3" width="12.5703125" bestFit="1" customWidth="1"/>
    <col min="4" max="4" width="11.28515625" style="1" customWidth="1"/>
  </cols>
  <sheetData>
    <row r="1" spans="1:4" s="15" customFormat="1" x14ac:dyDescent="0.2">
      <c r="A1" s="15" t="s">
        <v>13</v>
      </c>
      <c r="B1" s="15" t="s">
        <v>14</v>
      </c>
      <c r="C1" s="15" t="s">
        <v>15</v>
      </c>
      <c r="D1" s="15" t="s">
        <v>16</v>
      </c>
    </row>
    <row r="2" spans="1:4" x14ac:dyDescent="0.2">
      <c r="A2" t="str">
        <f>IF('ENC to Device Cables'!F5&lt;&gt;"",'ENC to Device Cables'!F5,"")</f>
        <v>CB05-1</v>
      </c>
      <c r="B2" s="2" t="str">
        <f>IF(A2&lt;&gt;"",'ENC to Device Cables'!G5,"")</f>
        <v>POWER</v>
      </c>
      <c r="C2" t="str">
        <f>IF(A2&lt;&gt;"",'ENC to Device Cables'!H5,"")</f>
        <v>ENC</v>
      </c>
      <c r="D2" s="1">
        <f>IF(A2&lt;&gt;"",'ENC to Device Cables'!I5,"")</f>
        <v>1</v>
      </c>
    </row>
    <row r="3" spans="1:4" x14ac:dyDescent="0.2">
      <c r="A3" t="str">
        <f>IF('ENC to Device Cables'!F6&lt;&gt;"",'ENC to Device Cables'!F6,"")</f>
        <v>CB05-1</v>
      </c>
      <c r="B3" s="2" t="str">
        <f>IF(A3&lt;&gt;"",'ENC to Device Cables'!G6,"")</f>
        <v>POWER</v>
      </c>
      <c r="C3" t="str">
        <f>IF(A3&lt;&gt;"",'ENC to Device Cables'!H6,"")</f>
        <v>J1</v>
      </c>
      <c r="D3" s="1">
        <f>IF(A3&lt;&gt;"",'ENC to Device Cables'!I6,"")</f>
        <v>1</v>
      </c>
    </row>
    <row r="4" spans="1:4" x14ac:dyDescent="0.2">
      <c r="A4" t="str">
        <f>IF('ENC to Device Cables'!F7&lt;&gt;"",'ENC to Device Cables'!F7,"")</f>
        <v>CB05-1</v>
      </c>
      <c r="B4" s="2" t="str">
        <f>IF(A4&lt;&gt;"",'ENC to Device Cables'!G7,"")</f>
        <v>ETHERNET</v>
      </c>
      <c r="C4" t="str">
        <f>IF(A4&lt;&gt;"",'ENC to Device Cables'!H7,"")</f>
        <v>ENC</v>
      </c>
      <c r="D4" s="1">
        <f>IF(A4&lt;&gt;"",'ENC to Device Cables'!I7,"")</f>
        <v>1</v>
      </c>
    </row>
    <row r="5" spans="1:4" x14ac:dyDescent="0.2">
      <c r="A5" t="str">
        <f>IF('ENC to Device Cables'!F8&lt;&gt;"",'ENC to Device Cables'!F8,"")</f>
        <v>CB05-1</v>
      </c>
      <c r="B5" s="2" t="str">
        <f>IF(A5&lt;&gt;"",'ENC to Device Cables'!G8,"")</f>
        <v>ETHERNET</v>
      </c>
      <c r="C5" t="str">
        <f>IF(A5&lt;&gt;"",'ENC to Device Cables'!H8,"")</f>
        <v>J1</v>
      </c>
      <c r="D5" s="1">
        <f>IF(A5&lt;&gt;"",'ENC to Device Cables'!I8,"")</f>
        <v>1</v>
      </c>
    </row>
    <row r="6" spans="1:4" x14ac:dyDescent="0.2">
      <c r="A6" t="str">
        <f>IF('ENC to Device Cables'!F9&lt;&gt;"",'ENC to Device Cables'!F9,"")</f>
        <v>CB05-1</v>
      </c>
      <c r="B6" s="2" t="str">
        <f>IF(A6&lt;&gt;"",'ENC to Device Cables'!G9,"")</f>
        <v>POWER</v>
      </c>
      <c r="C6" t="str">
        <f>IF(A6&lt;&gt;"",'ENC to Device Cables'!H9,"")</f>
        <v>J1</v>
      </c>
      <c r="D6" s="1">
        <f>IF(A6&lt;&gt;"",'ENC to Device Cables'!I9,"")</f>
        <v>1</v>
      </c>
    </row>
    <row r="7" spans="1:4" x14ac:dyDescent="0.2">
      <c r="A7" t="str">
        <f>IF('ENC to Device Cables'!F10&lt;&gt;"",'ENC to Device Cables'!F10,"")</f>
        <v>CB05-1</v>
      </c>
      <c r="B7" s="2" t="str">
        <f>IF(A7&lt;&gt;"",'ENC to Device Cables'!G10,"")</f>
        <v>POWER</v>
      </c>
      <c r="C7" t="str">
        <f>IF(A7&lt;&gt;"",'ENC to Device Cables'!H10,"")</f>
        <v>J3</v>
      </c>
      <c r="D7" s="1">
        <f>IF(A7&lt;&gt;"",'ENC to Device Cables'!I10,"")</f>
        <v>1</v>
      </c>
    </row>
    <row r="8" spans="1:4" x14ac:dyDescent="0.2">
      <c r="A8" t="str">
        <f>IF('ENC to Device Cables'!F11&lt;&gt;"",'ENC to Device Cables'!F11,"")</f>
        <v>CB05-1</v>
      </c>
      <c r="B8" s="2" t="str">
        <f>IF(A8&lt;&gt;"",'ENC to Device Cables'!G11,"")</f>
        <v>ETHERNET</v>
      </c>
      <c r="C8" t="str">
        <f>IF(A8&lt;&gt;"",'ENC to Device Cables'!H11,"")</f>
        <v>J1</v>
      </c>
      <c r="D8" s="1">
        <f>IF(A8&lt;&gt;"",'ENC to Device Cables'!I11,"")</f>
        <v>1</v>
      </c>
    </row>
    <row r="9" spans="1:4" x14ac:dyDescent="0.2">
      <c r="A9" t="str">
        <f>IF('ENC to Device Cables'!F12&lt;&gt;"",'ENC to Device Cables'!F12,"")</f>
        <v>CB05-1</v>
      </c>
      <c r="B9" s="2" t="str">
        <f>IF(A9&lt;&gt;"",'ENC to Device Cables'!G12,"")</f>
        <v>ETHERNET</v>
      </c>
      <c r="C9" t="str">
        <f>IF(A9&lt;&gt;"",'ENC to Device Cables'!H12,"")</f>
        <v>J3</v>
      </c>
      <c r="D9" s="1">
        <f>IF(A9&lt;&gt;"",'ENC to Device Cables'!I12,"")</f>
        <v>1</v>
      </c>
    </row>
    <row r="10" spans="1:4" x14ac:dyDescent="0.2">
      <c r="A10" t="str">
        <f>IF('ENC to Device Cables'!F13&lt;&gt;"",'ENC to Device Cables'!F13,"")</f>
        <v>CB05-1</v>
      </c>
      <c r="B10" s="2" t="str">
        <f>IF(A10&lt;&gt;"",'ENC to Device Cables'!G13,"")</f>
        <v>POWER</v>
      </c>
      <c r="C10" t="str">
        <f>IF(A10&lt;&gt;"",'ENC to Device Cables'!H13,"")</f>
        <v>J3</v>
      </c>
      <c r="D10" s="1">
        <f>IF(A10&lt;&gt;"",'ENC to Device Cables'!I13,"")</f>
        <v>1</v>
      </c>
    </row>
    <row r="11" spans="1:4" x14ac:dyDescent="0.2">
      <c r="A11" t="str">
        <f>IF('ENC to Device Cables'!F14&lt;&gt;"",'ENC to Device Cables'!F14,"")</f>
        <v>CB05-1</v>
      </c>
      <c r="B11" s="2" t="str">
        <f>IF(A11&lt;&gt;"",'ENC to Device Cables'!G14,"")</f>
        <v>POWER</v>
      </c>
      <c r="C11" t="str">
        <f>IF(A11&lt;&gt;"",'ENC to Device Cables'!H14,"")</f>
        <v>CB05-1</v>
      </c>
      <c r="D11" s="1">
        <f>IF(A11&lt;&gt;"",'ENC to Device Cables'!I14,"")</f>
        <v>1</v>
      </c>
    </row>
    <row r="12" spans="1:4" x14ac:dyDescent="0.2">
      <c r="A12" t="str">
        <f>IF('ENC to Device Cables'!F15&lt;&gt;"",'ENC to Device Cables'!F15,"")</f>
        <v>CB05-1</v>
      </c>
      <c r="B12" s="2" t="str">
        <f>IF(A12&lt;&gt;"",'ENC to Device Cables'!G15,"")</f>
        <v>ETHERNET</v>
      </c>
      <c r="C12" t="str">
        <f>IF(A12&lt;&gt;"",'ENC to Device Cables'!H15,"")</f>
        <v>J3</v>
      </c>
      <c r="D12" s="1">
        <f>IF(A12&lt;&gt;"",'ENC to Device Cables'!I15,"")</f>
        <v>1</v>
      </c>
    </row>
    <row r="13" spans="1:4" x14ac:dyDescent="0.2">
      <c r="A13" t="str">
        <f>IF('ENC to Device Cables'!F16&lt;&gt;"",'ENC to Device Cables'!F16,"")</f>
        <v>CB05-1</v>
      </c>
      <c r="B13" s="2" t="str">
        <f>IF(A13&lt;&gt;"",'ENC to Device Cables'!G16,"")</f>
        <v>ETHERNET</v>
      </c>
      <c r="C13" t="str">
        <f>IF(A13&lt;&gt;"",'ENC to Device Cables'!H16,"")</f>
        <v>CB05-1</v>
      </c>
      <c r="D13" s="1">
        <f>IF(A13&lt;&gt;"",'ENC to Device Cables'!I16,"")</f>
        <v>1</v>
      </c>
    </row>
    <row r="14" spans="1:4" x14ac:dyDescent="0.2">
      <c r="A14" t="str">
        <f>IF('ENC to Device Cables'!F17&lt;&gt;"",'ENC to Device Cables'!F17,"")</f>
        <v>CB06-1</v>
      </c>
      <c r="B14" s="2" t="str">
        <f>IF(A14&lt;&gt;"",'ENC to Device Cables'!G17,"")</f>
        <v>POWER</v>
      </c>
      <c r="C14" t="str">
        <f>IF(A14&lt;&gt;"",'ENC to Device Cables'!H17,"")</f>
        <v>ENC</v>
      </c>
      <c r="D14" s="1">
        <f>IF(A14&lt;&gt;"",'ENC to Device Cables'!I17,"")</f>
        <v>1</v>
      </c>
    </row>
    <row r="15" spans="1:4" x14ac:dyDescent="0.2">
      <c r="A15" t="str">
        <f>IF('ENC to Device Cables'!F18&lt;&gt;"",'ENC to Device Cables'!F18,"")</f>
        <v>CB06-1</v>
      </c>
      <c r="B15" s="2" t="str">
        <f>IF(A15&lt;&gt;"",'ENC to Device Cables'!G18,"")</f>
        <v>POWER</v>
      </c>
      <c r="C15" t="str">
        <f>IF(A15&lt;&gt;"",'ENC to Device Cables'!H18,"")</f>
        <v>J1</v>
      </c>
      <c r="D15" s="1">
        <f>IF(A15&lt;&gt;"",'ENC to Device Cables'!I18,"")</f>
        <v>1</v>
      </c>
    </row>
    <row r="16" spans="1:4" x14ac:dyDescent="0.2">
      <c r="A16" t="str">
        <f>IF('ENC to Device Cables'!F19&lt;&gt;"",'ENC to Device Cables'!F19,"")</f>
        <v>CB06-1</v>
      </c>
      <c r="B16" s="2" t="str">
        <f>IF(A16&lt;&gt;"",'ENC to Device Cables'!G19,"")</f>
        <v>ETHERNET</v>
      </c>
      <c r="C16" t="str">
        <f>IF(A16&lt;&gt;"",'ENC to Device Cables'!H19,"")</f>
        <v>ENC</v>
      </c>
      <c r="D16" s="1">
        <f>IF(A16&lt;&gt;"",'ENC to Device Cables'!I19,"")</f>
        <v>1</v>
      </c>
    </row>
    <row r="17" spans="1:4" x14ac:dyDescent="0.2">
      <c r="A17" t="str">
        <f>IF('ENC to Device Cables'!F20&lt;&gt;"",'ENC to Device Cables'!F20,"")</f>
        <v>CB06-1</v>
      </c>
      <c r="B17" s="2" t="str">
        <f>IF(A17&lt;&gt;"",'ENC to Device Cables'!G20,"")</f>
        <v>ETHERNET</v>
      </c>
      <c r="C17" t="str">
        <f>IF(A17&lt;&gt;"",'ENC to Device Cables'!H20,"")</f>
        <v>J1</v>
      </c>
      <c r="D17" s="1">
        <f>IF(A17&lt;&gt;"",'ENC to Device Cables'!I20,"")</f>
        <v>1</v>
      </c>
    </row>
    <row r="18" spans="1:4" x14ac:dyDescent="0.2">
      <c r="A18" t="str">
        <f>IF('ENC to Device Cables'!F21&lt;&gt;"",'ENC to Device Cables'!F21,"")</f>
        <v>CB06-1</v>
      </c>
      <c r="B18" s="2" t="str">
        <f>IF(A18&lt;&gt;"",'ENC to Device Cables'!G21,"")</f>
        <v>POWER</v>
      </c>
      <c r="C18" t="str">
        <f>IF(A18&lt;&gt;"",'ENC to Device Cables'!H21,"")</f>
        <v>J1</v>
      </c>
      <c r="D18" s="1">
        <f>IF(A18&lt;&gt;"",'ENC to Device Cables'!I21,"")</f>
        <v>1</v>
      </c>
    </row>
    <row r="19" spans="1:4" x14ac:dyDescent="0.2">
      <c r="A19" t="str">
        <f>IF('ENC to Device Cables'!F22&lt;&gt;"",'ENC to Device Cables'!F22,"")</f>
        <v>CB06-1</v>
      </c>
      <c r="B19" s="2" t="str">
        <f>IF(A19&lt;&gt;"",'ENC to Device Cables'!G22,"")</f>
        <v>POWER</v>
      </c>
      <c r="C19" t="str">
        <f>IF(A19&lt;&gt;"",'ENC to Device Cables'!H22,"")</f>
        <v>J3</v>
      </c>
      <c r="D19" s="1">
        <f>IF(A19&lt;&gt;"",'ENC to Device Cables'!I22,"")</f>
        <v>1</v>
      </c>
    </row>
    <row r="20" spans="1:4" x14ac:dyDescent="0.2">
      <c r="A20" t="str">
        <f>IF('ENC to Device Cables'!F23&lt;&gt;"",'ENC to Device Cables'!F23,"")</f>
        <v>CB06-1</v>
      </c>
      <c r="B20" s="2" t="str">
        <f>IF(A20&lt;&gt;"",'ENC to Device Cables'!G23,"")</f>
        <v>ETHERNET</v>
      </c>
      <c r="C20" t="str">
        <f>IF(A20&lt;&gt;"",'ENC to Device Cables'!H23,"")</f>
        <v>J1</v>
      </c>
      <c r="D20" s="1">
        <f>IF(A20&lt;&gt;"",'ENC to Device Cables'!I23,"")</f>
        <v>1</v>
      </c>
    </row>
    <row r="21" spans="1:4" x14ac:dyDescent="0.2">
      <c r="A21" t="str">
        <f>IF('ENC to Device Cables'!F24&lt;&gt;"",'ENC to Device Cables'!F24,"")</f>
        <v>CB06-1</v>
      </c>
      <c r="B21" s="2" t="str">
        <f>IF(A21&lt;&gt;"",'ENC to Device Cables'!G24,"")</f>
        <v>ETHERNET</v>
      </c>
      <c r="C21" t="str">
        <f>IF(A21&lt;&gt;"",'ENC to Device Cables'!H24,"")</f>
        <v>J3</v>
      </c>
      <c r="D21" s="1">
        <f>IF(A21&lt;&gt;"",'ENC to Device Cables'!I24,"")</f>
        <v>1</v>
      </c>
    </row>
    <row r="22" spans="1:4" x14ac:dyDescent="0.2">
      <c r="A22" t="str">
        <f>IF('ENC to Device Cables'!F25&lt;&gt;"",'ENC to Device Cables'!F25,"")</f>
        <v>CB06-1</v>
      </c>
      <c r="B22" s="2" t="str">
        <f>IF(A22&lt;&gt;"",'ENC to Device Cables'!G25,"")</f>
        <v>POWER</v>
      </c>
      <c r="C22" t="str">
        <f>IF(A22&lt;&gt;"",'ENC to Device Cables'!H25,"")</f>
        <v>J3</v>
      </c>
      <c r="D22" s="1">
        <f>IF(A22&lt;&gt;"",'ENC to Device Cables'!I25,"")</f>
        <v>1</v>
      </c>
    </row>
    <row r="23" spans="1:4" x14ac:dyDescent="0.2">
      <c r="A23" t="str">
        <f>IF('ENC to Device Cables'!F26&lt;&gt;"",'ENC to Device Cables'!F26,"")</f>
        <v>CB06-1</v>
      </c>
      <c r="B23" s="2" t="str">
        <f>IF(A23&lt;&gt;"",'ENC to Device Cables'!G26,"")</f>
        <v>POWER</v>
      </c>
      <c r="C23" t="str">
        <f>IF(A23&lt;&gt;"",'ENC to Device Cables'!H26,"")</f>
        <v>CB06-1</v>
      </c>
      <c r="D23" s="1">
        <f>IF(A23&lt;&gt;"",'ENC to Device Cables'!I26,"")</f>
        <v>1</v>
      </c>
    </row>
    <row r="24" spans="1:4" x14ac:dyDescent="0.2">
      <c r="A24" t="str">
        <f>IF('ENC to Device Cables'!F27&lt;&gt;"",'ENC to Device Cables'!F27,"")</f>
        <v>CB06-1</v>
      </c>
      <c r="B24" s="2" t="str">
        <f>IF(A24&lt;&gt;"",'ENC to Device Cables'!G27,"")</f>
        <v>ETHERNET</v>
      </c>
      <c r="C24" t="str">
        <f>IF(A24&lt;&gt;"",'ENC to Device Cables'!H27,"")</f>
        <v>J3</v>
      </c>
      <c r="D24" s="1">
        <f>IF(A24&lt;&gt;"",'ENC to Device Cables'!I27,"")</f>
        <v>1</v>
      </c>
    </row>
    <row r="25" spans="1:4" x14ac:dyDescent="0.2">
      <c r="A25" t="str">
        <f>IF('ENC to Device Cables'!F28&lt;&gt;"",'ENC to Device Cables'!F28,"")</f>
        <v>CB06-1</v>
      </c>
      <c r="B25" s="2" t="str">
        <f>IF(A25&lt;&gt;"",'ENC to Device Cables'!G28,"")</f>
        <v>ETHERNET</v>
      </c>
      <c r="C25" t="str">
        <f>IF(A25&lt;&gt;"",'ENC to Device Cables'!H28,"")</f>
        <v>CB06-1</v>
      </c>
      <c r="D25" s="1">
        <f>IF(A25&lt;&gt;"",'ENC to Device Cables'!I28,"")</f>
        <v>1</v>
      </c>
    </row>
    <row r="26" spans="1:4" x14ac:dyDescent="0.2">
      <c r="A26" t="str">
        <f>IF('ENC to Device Cables'!F29&lt;&gt;"",'ENC to Device Cables'!F29,"")</f>
        <v>CB-3</v>
      </c>
      <c r="B26" s="2" t="str">
        <f>IF(A26&lt;&gt;"",'ENC to Device Cables'!G29,"")</f>
        <v>POWER</v>
      </c>
      <c r="C26" t="str">
        <f>IF(A26&lt;&gt;"",'ENC to Device Cables'!H29,"")</f>
        <v>ENC</v>
      </c>
      <c r="D26" s="1">
        <f>IF(A26&lt;&gt;"",'ENC to Device Cables'!I29,"")</f>
        <v>1</v>
      </c>
    </row>
    <row r="27" spans="1:4" x14ac:dyDescent="0.2">
      <c r="A27" t="str">
        <f>IF('ENC to Device Cables'!F30&lt;&gt;"",'ENC to Device Cables'!F30,"")</f>
        <v>CB-3</v>
      </c>
      <c r="B27" s="2" t="str">
        <f>IF(A27&lt;&gt;"",'ENC to Device Cables'!G30,"")</f>
        <v>POWER</v>
      </c>
      <c r="C27" t="str">
        <f>IF(A27&lt;&gt;"",'ENC to Device Cables'!H30,"")</f>
        <v>CB-3</v>
      </c>
      <c r="D27" s="1">
        <f>IF(A27&lt;&gt;"",'ENC to Device Cables'!I30,"")</f>
        <v>1</v>
      </c>
    </row>
    <row r="28" spans="1:4" x14ac:dyDescent="0.2">
      <c r="A28" t="str">
        <f>IF('ENC to Device Cables'!F31&lt;&gt;"",'ENC to Device Cables'!F31,"")</f>
        <v>CB-3</v>
      </c>
      <c r="B28" s="2" t="str">
        <f>IF(A28&lt;&gt;"",'ENC to Device Cables'!G31,"")</f>
        <v>ETHERNET</v>
      </c>
      <c r="C28" t="str">
        <f>IF(A28&lt;&gt;"",'ENC to Device Cables'!H31,"")</f>
        <v>ENC</v>
      </c>
      <c r="D28" s="1">
        <f>IF(A28&lt;&gt;"",'ENC to Device Cables'!I31,"")</f>
        <v>1</v>
      </c>
    </row>
    <row r="29" spans="1:4" x14ac:dyDescent="0.2">
      <c r="A29" t="str">
        <f>IF('ENC to Device Cables'!F32&lt;&gt;"",'ENC to Device Cables'!F32,"")</f>
        <v>CB-3</v>
      </c>
      <c r="B29" s="2" t="str">
        <f>IF(A29&lt;&gt;"",'ENC to Device Cables'!G32,"")</f>
        <v>ETHERNET</v>
      </c>
      <c r="C29" t="str">
        <f>IF(A29&lt;&gt;"",'ENC to Device Cables'!H32,"")</f>
        <v>CB-3</v>
      </c>
      <c r="D29" s="1">
        <f>IF(A29&lt;&gt;"",'ENC to Device Cables'!I32,"")</f>
        <v>1</v>
      </c>
    </row>
    <row r="30" spans="1:4" x14ac:dyDescent="0.2">
      <c r="A30" t="str">
        <f>IF('ENC to Device Cables'!F33&lt;&gt;"",'ENC to Device Cables'!F33,"")</f>
        <v>CB-4</v>
      </c>
      <c r="B30" s="2" t="str">
        <f>IF(A30&lt;&gt;"",'ENC to Device Cables'!G33,"")</f>
        <v>POWER</v>
      </c>
      <c r="C30" t="str">
        <f>IF(A30&lt;&gt;"",'ENC to Device Cables'!H33,"")</f>
        <v>ENC</v>
      </c>
      <c r="D30" s="1">
        <f>IF(A30&lt;&gt;"",'ENC to Device Cables'!I33,"")</f>
        <v>1</v>
      </c>
    </row>
    <row r="31" spans="1:4" x14ac:dyDescent="0.2">
      <c r="A31" t="str">
        <f>IF('ENC to Device Cables'!F34&lt;&gt;"",'ENC to Device Cables'!F34,"")</f>
        <v>CB-4</v>
      </c>
      <c r="B31" s="2" t="str">
        <f>IF(A31&lt;&gt;"",'ENC to Device Cables'!G34,"")</f>
        <v>POWER</v>
      </c>
      <c r="C31" t="str">
        <f>IF(A31&lt;&gt;"",'ENC to Device Cables'!H34,"")</f>
        <v>CB-4</v>
      </c>
      <c r="D31" s="1">
        <f>IF(A31&lt;&gt;"",'ENC to Device Cables'!I34,"")</f>
        <v>1</v>
      </c>
    </row>
    <row r="32" spans="1:4" x14ac:dyDescent="0.2">
      <c r="A32" t="str">
        <f>IF('ENC to Device Cables'!F35&lt;&gt;"",'ENC to Device Cables'!F35,"")</f>
        <v>CB-4</v>
      </c>
      <c r="B32" s="2" t="str">
        <f>IF(A32&lt;&gt;"",'ENC to Device Cables'!G35,"")</f>
        <v>ETHERNET</v>
      </c>
      <c r="C32" t="str">
        <f>IF(A32&lt;&gt;"",'ENC to Device Cables'!H35,"")</f>
        <v>ENC</v>
      </c>
      <c r="D32" s="1">
        <f>IF(A32&lt;&gt;"",'ENC to Device Cables'!I35,"")</f>
        <v>1</v>
      </c>
    </row>
    <row r="33" spans="1:4" x14ac:dyDescent="0.2">
      <c r="A33" t="str">
        <f>IF('ENC to Device Cables'!F36&lt;&gt;"",'ENC to Device Cables'!F36,"")</f>
        <v>CB-4</v>
      </c>
      <c r="B33" s="2" t="str">
        <f>IF(A33&lt;&gt;"",'ENC to Device Cables'!G36,"")</f>
        <v>ETHERNET</v>
      </c>
      <c r="C33" t="str">
        <f>IF(A33&lt;&gt;"",'ENC to Device Cables'!H36,"")</f>
        <v>CB-4</v>
      </c>
      <c r="D33" s="1">
        <f>IF(A33&lt;&gt;"",'ENC to Device Cables'!I36,"")</f>
        <v>1</v>
      </c>
    </row>
    <row r="34" spans="1:4" x14ac:dyDescent="0.2">
      <c r="A34" t="str">
        <f>IF('ENC to Device Cables'!F37&lt;&gt;"",'ENC to Device Cables'!F37,"")</f>
        <v>CB-1</v>
      </c>
      <c r="B34" s="2" t="str">
        <f>IF(A34&lt;&gt;"",'ENC to Device Cables'!G37,"")</f>
        <v>POWER</v>
      </c>
      <c r="C34" t="str">
        <f>IF(A34&lt;&gt;"",'ENC to Device Cables'!H37,"")</f>
        <v>ENC</v>
      </c>
      <c r="D34" s="1">
        <f>IF(A34&lt;&gt;"",'ENC to Device Cables'!I37,"")</f>
        <v>1</v>
      </c>
    </row>
    <row r="35" spans="1:4" x14ac:dyDescent="0.2">
      <c r="A35" t="str">
        <f>IF('ENC to Device Cables'!F38&lt;&gt;"",'ENC to Device Cables'!F38,"")</f>
        <v>CB-1</v>
      </c>
      <c r="B35" s="2" t="str">
        <f>IF(A35&lt;&gt;"",'ENC to Device Cables'!G38,"")</f>
        <v>POWER</v>
      </c>
      <c r="C35" t="str">
        <f>IF(A35&lt;&gt;"",'ENC to Device Cables'!H38,"")</f>
        <v>CB-1</v>
      </c>
      <c r="D35" s="1">
        <f>IF(A35&lt;&gt;"",'ENC to Device Cables'!I38,"")</f>
        <v>1</v>
      </c>
    </row>
    <row r="36" spans="1:4" x14ac:dyDescent="0.2">
      <c r="A36" t="str">
        <f>IF('ENC to Device Cables'!F39&lt;&gt;"",'ENC to Device Cables'!F39,"")</f>
        <v>CB-1</v>
      </c>
      <c r="B36" s="2" t="str">
        <f>IF(A36&lt;&gt;"",'ENC to Device Cables'!G39,"")</f>
        <v>ETHERNET</v>
      </c>
      <c r="C36" t="str">
        <f>IF(A36&lt;&gt;"",'ENC to Device Cables'!H39,"")</f>
        <v>ENC</v>
      </c>
      <c r="D36" s="1">
        <f>IF(A36&lt;&gt;"",'ENC to Device Cables'!I39,"")</f>
        <v>1</v>
      </c>
    </row>
    <row r="37" spans="1:4" x14ac:dyDescent="0.2">
      <c r="A37" t="str">
        <f>IF('ENC to Device Cables'!F40&lt;&gt;"",'ENC to Device Cables'!F40,"")</f>
        <v>CB-1</v>
      </c>
      <c r="B37" s="2" t="str">
        <f>IF(A37&lt;&gt;"",'ENC to Device Cables'!G40,"")</f>
        <v>ETHERNET</v>
      </c>
      <c r="C37" t="str">
        <f>IF(A37&lt;&gt;"",'ENC to Device Cables'!H40,"")</f>
        <v>CB-1</v>
      </c>
      <c r="D37" s="1">
        <f>IF(A37&lt;&gt;"",'ENC to Device Cables'!I40,"")</f>
        <v>1</v>
      </c>
    </row>
    <row r="38" spans="1:4" x14ac:dyDescent="0.2">
      <c r="A38" t="str">
        <f>IF('ENC to Device Cables'!F41&lt;&gt;"",'ENC to Device Cables'!F41,"")</f>
        <v>CB-2</v>
      </c>
      <c r="B38" s="2" t="str">
        <f>IF(A38&lt;&gt;"",'ENC to Device Cables'!G41,"")</f>
        <v>POWER</v>
      </c>
      <c r="C38" t="str">
        <f>IF(A38&lt;&gt;"",'ENC to Device Cables'!H41,"")</f>
        <v>ENC</v>
      </c>
      <c r="D38" s="1">
        <f>IF(A38&lt;&gt;"",'ENC to Device Cables'!I41,"")</f>
        <v>1</v>
      </c>
    </row>
    <row r="39" spans="1:4" x14ac:dyDescent="0.2">
      <c r="A39" t="str">
        <f>IF('ENC to Device Cables'!F42&lt;&gt;"",'ENC to Device Cables'!F42,"")</f>
        <v>CB-2</v>
      </c>
      <c r="B39" s="2" t="str">
        <f>IF(A39&lt;&gt;"",'ENC to Device Cables'!G42,"")</f>
        <v>POWER</v>
      </c>
      <c r="C39" t="str">
        <f>IF(A39&lt;&gt;"",'ENC to Device Cables'!H42,"")</f>
        <v>CB-2</v>
      </c>
      <c r="D39" s="1">
        <f>IF(A39&lt;&gt;"",'ENC to Device Cables'!I42,"")</f>
        <v>1</v>
      </c>
    </row>
    <row r="40" spans="1:4" x14ac:dyDescent="0.2">
      <c r="A40" t="str">
        <f>IF('ENC to Device Cables'!F43&lt;&gt;"",'ENC to Device Cables'!F43,"")</f>
        <v>CB-2</v>
      </c>
      <c r="B40" s="2" t="str">
        <f>IF(A40&lt;&gt;"",'ENC to Device Cables'!G43,"")</f>
        <v>ETHERNET</v>
      </c>
      <c r="C40" t="str">
        <f>IF(A40&lt;&gt;"",'ENC to Device Cables'!H43,"")</f>
        <v>ENC</v>
      </c>
      <c r="D40" s="1">
        <f>IF(A40&lt;&gt;"",'ENC to Device Cables'!I43,"")</f>
        <v>1</v>
      </c>
    </row>
    <row r="41" spans="1:4" x14ac:dyDescent="0.2">
      <c r="A41" t="str">
        <f>IF('ENC to Device Cables'!F44&lt;&gt;"",'ENC to Device Cables'!F44,"")</f>
        <v>CB-2</v>
      </c>
      <c r="B41" s="2" t="str">
        <f>IF(A41&lt;&gt;"",'ENC to Device Cables'!G44,"")</f>
        <v>ETHERNET</v>
      </c>
      <c r="C41" t="str">
        <f>IF(A41&lt;&gt;"",'ENC to Device Cables'!H44,"")</f>
        <v>CB-2</v>
      </c>
      <c r="D41" s="1">
        <f>IF(A41&lt;&gt;"",'ENC to Device Cables'!I44,"")</f>
        <v>1</v>
      </c>
    </row>
    <row r="42" spans="1:4" x14ac:dyDescent="0.2">
      <c r="A42" t="str">
        <f>IF('ENC to Device Cables'!F45&lt;&gt;"",'ENC to Device Cables'!F45,"")</f>
        <v>RM-1</v>
      </c>
      <c r="B42" s="2" t="str">
        <f>IF(A42&lt;&gt;"",'ENC to Device Cables'!G45,"")</f>
        <v>POWER</v>
      </c>
      <c r="C42" t="str">
        <f>IF(A42&lt;&gt;"",'ENC to Device Cables'!H45,"")</f>
        <v>ENC</v>
      </c>
      <c r="D42" s="1">
        <f>IF(A42&lt;&gt;"",'ENC to Device Cables'!I45,"")</f>
        <v>1</v>
      </c>
    </row>
    <row r="43" spans="1:4" x14ac:dyDescent="0.2">
      <c r="A43" t="str">
        <f>IF('ENC to Device Cables'!F46&lt;&gt;"",'ENC to Device Cables'!F46,"")</f>
        <v>RM-1</v>
      </c>
      <c r="B43" s="2" t="str">
        <f>IF(A43&lt;&gt;"",'ENC to Device Cables'!G46,"")</f>
        <v>POWER</v>
      </c>
      <c r="C43" t="str">
        <f>IF(A43&lt;&gt;"",'ENC to Device Cables'!H46,"")</f>
        <v>RM-1</v>
      </c>
      <c r="D43" s="1">
        <f>IF(A43&lt;&gt;"",'ENC to Device Cables'!I46,"")</f>
        <v>1</v>
      </c>
    </row>
    <row r="44" spans="1:4" x14ac:dyDescent="0.2">
      <c r="A44" t="str">
        <f>IF('ENC to Device Cables'!F47&lt;&gt;"",'ENC to Device Cables'!F47,"")</f>
        <v>RM-1</v>
      </c>
      <c r="B44" s="2" t="str">
        <f>IF(A44&lt;&gt;"",'ENC to Device Cables'!G47,"")</f>
        <v>VIDEO</v>
      </c>
      <c r="C44" t="str">
        <f>IF(A44&lt;&gt;"",'ENC to Device Cables'!H47,"")</f>
        <v>ENC</v>
      </c>
      <c r="D44" s="1">
        <f>IF(A44&lt;&gt;"",'ENC to Device Cables'!I47,"")</f>
        <v>1</v>
      </c>
    </row>
    <row r="45" spans="1:4" x14ac:dyDescent="0.2">
      <c r="A45" t="str">
        <f>IF('ENC to Device Cables'!F48&lt;&gt;"",'ENC to Device Cables'!F48,"")</f>
        <v>RM-1</v>
      </c>
      <c r="B45" s="2" t="str">
        <f>IF(A45&lt;&gt;"",'ENC to Device Cables'!G48,"")</f>
        <v>VIDEO</v>
      </c>
      <c r="C45" t="str">
        <f>IF(A45&lt;&gt;"",'ENC to Device Cables'!H48,"")</f>
        <v>RM-1</v>
      </c>
      <c r="D45" s="1">
        <f>IF(A45&lt;&gt;"",'ENC to Device Cables'!I48,"")</f>
        <v>1</v>
      </c>
    </row>
    <row r="46" spans="1:4" x14ac:dyDescent="0.2">
      <c r="A46" t="str">
        <f>IF('ENC to Device Cables'!F49&lt;&gt;"",'ENC to Device Cables'!F49,"")</f>
        <v>RM-2</v>
      </c>
      <c r="B46" s="2" t="str">
        <f>IF(A46&lt;&gt;"",'ENC to Device Cables'!G49,"")</f>
        <v>POWER</v>
      </c>
      <c r="C46" t="str">
        <f>IF(A46&lt;&gt;"",'ENC to Device Cables'!H49,"")</f>
        <v>ENC</v>
      </c>
      <c r="D46" s="1">
        <f>IF(A46&lt;&gt;"",'ENC to Device Cables'!I49,"")</f>
        <v>1</v>
      </c>
    </row>
    <row r="47" spans="1:4" x14ac:dyDescent="0.2">
      <c r="A47" t="str">
        <f>IF('ENC to Device Cables'!F50&lt;&gt;"",'ENC to Device Cables'!F50,"")</f>
        <v>RM-2</v>
      </c>
      <c r="B47" s="2" t="str">
        <f>IF(A47&lt;&gt;"",'ENC to Device Cables'!G50,"")</f>
        <v>POWER</v>
      </c>
      <c r="C47" t="str">
        <f>IF(A47&lt;&gt;"",'ENC to Device Cables'!H50,"")</f>
        <v>RM-2</v>
      </c>
      <c r="D47" s="1">
        <f>IF(A47&lt;&gt;"",'ENC to Device Cables'!I50,"")</f>
        <v>1</v>
      </c>
    </row>
    <row r="48" spans="1:4" x14ac:dyDescent="0.2">
      <c r="A48" t="str">
        <f>IF('ENC to Device Cables'!F51&lt;&gt;"",'ENC to Device Cables'!F51,"")</f>
        <v>RM-2</v>
      </c>
      <c r="B48" s="2" t="str">
        <f>IF(A48&lt;&gt;"",'ENC to Device Cables'!G51,"")</f>
        <v>VIDEO</v>
      </c>
      <c r="C48" t="str">
        <f>IF(A48&lt;&gt;"",'ENC to Device Cables'!H51,"")</f>
        <v>ENC</v>
      </c>
      <c r="D48" s="1">
        <f>IF(A48&lt;&gt;"",'ENC to Device Cables'!I51,"")</f>
        <v>1</v>
      </c>
    </row>
    <row r="49" spans="1:4" x14ac:dyDescent="0.2">
      <c r="A49" t="str">
        <f>IF('ENC to Device Cables'!F52&lt;&gt;"",'ENC to Device Cables'!F52,"")</f>
        <v>RM-2</v>
      </c>
      <c r="B49" s="2" t="str">
        <f>IF(A49&lt;&gt;"",'ENC to Device Cables'!G52,"")</f>
        <v>VIDEO</v>
      </c>
      <c r="C49" t="str">
        <f>IF(A49&lt;&gt;"",'ENC to Device Cables'!H52,"")</f>
        <v>RM-2</v>
      </c>
      <c r="D49" s="1">
        <f>IF(A49&lt;&gt;"",'ENC to Device Cables'!I52,"")</f>
        <v>1</v>
      </c>
    </row>
    <row r="50" spans="1:4" x14ac:dyDescent="0.2">
      <c r="A50" t="str">
        <f>IF('ENC to Device Cables'!F53&lt;&gt;"",'ENC to Device Cables'!F53,"")</f>
        <v>PD-2</v>
      </c>
      <c r="B50" s="2" t="str">
        <f>IF(A50&lt;&gt;"",'ENC to Device Cables'!G53,"")</f>
        <v>SYNC</v>
      </c>
      <c r="C50" t="str">
        <f>IF(A50&lt;&gt;"",'ENC to Device Cables'!H53,"")</f>
        <v>CB-1</v>
      </c>
      <c r="D50" s="1">
        <f>IF(A50&lt;&gt;"",'ENC to Device Cables'!I53,"")</f>
        <v>1</v>
      </c>
    </row>
    <row r="51" spans="1:4" x14ac:dyDescent="0.2">
      <c r="A51" t="str">
        <f>IF('ENC to Device Cables'!F54&lt;&gt;"",'ENC to Device Cables'!F54,"")</f>
        <v>PD-2</v>
      </c>
      <c r="B51" s="2" t="str">
        <f>IF(A51&lt;&gt;"",'ENC to Device Cables'!G54,"")</f>
        <v>SYNC</v>
      </c>
      <c r="C51" t="str">
        <f>IF(A51&lt;&gt;"",'ENC to Device Cables'!H54,"")</f>
        <v>CB-2</v>
      </c>
      <c r="D51" s="1">
        <f>IF(A51&lt;&gt;"",'ENC to Device Cables'!I54,"")</f>
        <v>1</v>
      </c>
    </row>
    <row r="52" spans="1:4" x14ac:dyDescent="0.2">
      <c r="A52" t="str">
        <f>IF('ENC to Device Cables'!F55&lt;&gt;"",'ENC to Device Cables'!F55,"")</f>
        <v>PD-2</v>
      </c>
      <c r="B52" s="2" t="str">
        <f>IF(A52&lt;&gt;"",'ENC to Device Cables'!G55,"")</f>
        <v>POWER</v>
      </c>
      <c r="C52" t="str">
        <f>IF(A52&lt;&gt;"",'ENC to Device Cables'!H55,"")</f>
        <v>CB-2</v>
      </c>
      <c r="D52" s="1">
        <f>IF(A52&lt;&gt;"",'ENC to Device Cables'!I55,"")</f>
        <v>1</v>
      </c>
    </row>
    <row r="53" spans="1:4" x14ac:dyDescent="0.2">
      <c r="A53" t="str">
        <f>IF('ENC to Device Cables'!F56&lt;&gt;"",'ENC to Device Cables'!F56,"")</f>
        <v>PD-2</v>
      </c>
      <c r="B53" s="2" t="str">
        <f>IF(A53&lt;&gt;"",'ENC to Device Cables'!G56,"")</f>
        <v>POWER</v>
      </c>
      <c r="C53" t="str">
        <f>IF(A53&lt;&gt;"",'ENC to Device Cables'!H56,"")</f>
        <v>PD-2</v>
      </c>
      <c r="D53" s="1">
        <f>IF(A53&lt;&gt;"",'ENC to Device Cables'!I56,"")</f>
        <v>1</v>
      </c>
    </row>
    <row r="54" spans="1:4" x14ac:dyDescent="0.2">
      <c r="A54" t="str">
        <f>IF('ENC to Device Cables'!F57&lt;&gt;"",'ENC to Device Cables'!F57,"")</f>
        <v>PD-2</v>
      </c>
      <c r="B54" s="2" t="str">
        <f>IF(A54&lt;&gt;"",'ENC to Device Cables'!G57,"")</f>
        <v>SYNC</v>
      </c>
      <c r="C54" t="str">
        <f>IF(A54&lt;&gt;"",'ENC to Device Cables'!H57,"")</f>
        <v>CB-2</v>
      </c>
      <c r="D54" s="1">
        <f>IF(A54&lt;&gt;"",'ENC to Device Cables'!I57,"")</f>
        <v>1</v>
      </c>
    </row>
    <row r="55" spans="1:4" x14ac:dyDescent="0.2">
      <c r="A55" t="str">
        <f>IF('ENC to Device Cables'!F58&lt;&gt;"",'ENC to Device Cables'!F58,"")</f>
        <v>PD-2</v>
      </c>
      <c r="B55" s="2" t="str">
        <f>IF(A55&lt;&gt;"",'ENC to Device Cables'!G58,"")</f>
        <v>SYNC</v>
      </c>
      <c r="C55" t="str">
        <f>IF(A55&lt;&gt;"",'ENC to Device Cables'!H58,"")</f>
        <v>PD-2</v>
      </c>
      <c r="D55" s="1">
        <f>IF(A55&lt;&gt;"",'ENC to Device Cables'!I58,"")</f>
        <v>1</v>
      </c>
    </row>
    <row r="56" spans="1:4" x14ac:dyDescent="0.2">
      <c r="A56" t="str">
        <f>IF('ENC to Device Cables'!F59&lt;&gt;"",'ENC to Device Cables'!F59,"")</f>
        <v>PD-2</v>
      </c>
      <c r="B56" s="2" t="str">
        <f>IF(A56&lt;&gt;"",'ENC to Device Cables'!G59,"")</f>
        <v>ETHERNET</v>
      </c>
      <c r="C56" t="str">
        <f>IF(A56&lt;&gt;"",'ENC to Device Cables'!H59,"")</f>
        <v>CB-2</v>
      </c>
      <c r="D56" s="1">
        <f>IF(A56&lt;&gt;"",'ENC to Device Cables'!I59,"")</f>
        <v>1</v>
      </c>
    </row>
    <row r="57" spans="1:4" x14ac:dyDescent="0.2">
      <c r="A57" t="str">
        <f>IF('ENC to Device Cables'!F60&lt;&gt;"",'ENC to Device Cables'!F60,"")</f>
        <v>PD-2</v>
      </c>
      <c r="B57" s="2" t="str">
        <f>IF(A57&lt;&gt;"",'ENC to Device Cables'!G60,"")</f>
        <v>ETHERNET</v>
      </c>
      <c r="C57" t="str">
        <f>IF(A57&lt;&gt;"",'ENC to Device Cables'!H60,"")</f>
        <v>CB-4</v>
      </c>
      <c r="D57" s="1">
        <f>IF(A57&lt;&gt;"",'ENC to Device Cables'!I60,"")</f>
        <v>1</v>
      </c>
    </row>
    <row r="58" spans="1:4" x14ac:dyDescent="0.2">
      <c r="A58" t="str">
        <f>IF('ENC to Device Cables'!F61&lt;&gt;"",'ENC to Device Cables'!F61,"")</f>
        <v/>
      </c>
      <c r="B58" s="2" t="str">
        <f>IF(A58&lt;&gt;"",'ENC to Device Cables'!G61,"")</f>
        <v/>
      </c>
      <c r="C58" t="str">
        <f>IF(A58&lt;&gt;"",'ENC to Device Cables'!H61,"")</f>
        <v/>
      </c>
      <c r="D58" s="1" t="str">
        <f>IF(A58&lt;&gt;"",'ENC to Device Cables'!I61,"")</f>
        <v/>
      </c>
    </row>
    <row r="59" spans="1:4" x14ac:dyDescent="0.2">
      <c r="A59" t="str">
        <f>IF('ENC to Device Cables'!F138&lt;&gt;"",'ENC to Device Cables'!F138,"")</f>
        <v/>
      </c>
      <c r="B59" s="2" t="str">
        <f>IF(A59&lt;&gt;"",'ENC to Device Cables'!G138,"")</f>
        <v/>
      </c>
      <c r="C59" t="str">
        <f>IF(A59&lt;&gt;"",'ENC to Device Cables'!H138,"")</f>
        <v/>
      </c>
      <c r="D59" s="1" t="str">
        <f>IF(A59&lt;&gt;"",'ENC to Device Cables'!I138,"")</f>
        <v/>
      </c>
    </row>
    <row r="60" spans="1:4" x14ac:dyDescent="0.2">
      <c r="A60" t="str">
        <f>IF('ENC to Device Cables'!F139&lt;&gt;"",'ENC to Device Cables'!F139,"")</f>
        <v/>
      </c>
      <c r="B60" s="2" t="str">
        <f>IF(A60&lt;&gt;"",'ENC to Device Cables'!G139,"")</f>
        <v/>
      </c>
      <c r="C60" t="str">
        <f>IF(A60&lt;&gt;"",'ENC to Device Cables'!H139,"")</f>
        <v/>
      </c>
      <c r="D60" s="1" t="str">
        <f>IF(A60&lt;&gt;"",'ENC to Device Cables'!I139,"")</f>
        <v/>
      </c>
    </row>
    <row r="61" spans="1:4" x14ac:dyDescent="0.2">
      <c r="A61" t="str">
        <f>IF('ENC to Device Cables'!F140&lt;&gt;"",'ENC to Device Cables'!F140,"")</f>
        <v/>
      </c>
      <c r="B61" s="2" t="str">
        <f>IF(A61&lt;&gt;"",'ENC to Device Cables'!G140,"")</f>
        <v/>
      </c>
      <c r="C61" t="str">
        <f>IF(A61&lt;&gt;"",'ENC to Device Cables'!H140,"")</f>
        <v/>
      </c>
      <c r="D61" s="1" t="str">
        <f>IF(A61&lt;&gt;"",'ENC to Device Cables'!I140,"")</f>
        <v/>
      </c>
    </row>
    <row r="62" spans="1:4" x14ac:dyDescent="0.2">
      <c r="A62" t="str">
        <f>IF('ENC to Device Cables'!F141&lt;&gt;"",'ENC to Device Cables'!F141,"")</f>
        <v/>
      </c>
      <c r="B62" s="2" t="str">
        <f>IF(A62&lt;&gt;"",'ENC to Device Cables'!G141,"")</f>
        <v/>
      </c>
      <c r="C62" t="str">
        <f>IF(A62&lt;&gt;"",'ENC to Device Cables'!H141,"")</f>
        <v/>
      </c>
      <c r="D62" s="1" t="str">
        <f>IF(A62&lt;&gt;"",'ENC to Device Cables'!I141,"")</f>
        <v/>
      </c>
    </row>
    <row r="63" spans="1:4" x14ac:dyDescent="0.2">
      <c r="A63" t="str">
        <f>IF('ENC to Device Cables'!F142&lt;&gt;"",'ENC to Device Cables'!F142,"")</f>
        <v/>
      </c>
      <c r="B63" s="2" t="str">
        <f>IF(A63&lt;&gt;"",'ENC to Device Cables'!G142,"")</f>
        <v/>
      </c>
      <c r="C63" t="str">
        <f>IF(A63&lt;&gt;"",'ENC to Device Cables'!H142,"")</f>
        <v/>
      </c>
      <c r="D63" s="1" t="str">
        <f>IF(A63&lt;&gt;"",'ENC to Device Cables'!I142,"")</f>
        <v/>
      </c>
    </row>
    <row r="64" spans="1:4" x14ac:dyDescent="0.2">
      <c r="A64" t="str">
        <f>IF('ENC to Device Cables'!F143&lt;&gt;"",'ENC to Device Cables'!F143,"")</f>
        <v/>
      </c>
      <c r="B64" s="2" t="str">
        <f>IF(A64&lt;&gt;"",'ENC to Device Cables'!G143,"")</f>
        <v/>
      </c>
      <c r="C64" t="str">
        <f>IF(A64&lt;&gt;"",'ENC to Device Cables'!H143,"")</f>
        <v/>
      </c>
      <c r="D64" s="1" t="str">
        <f>IF(A64&lt;&gt;"",'ENC to Device Cables'!I143,"")</f>
        <v/>
      </c>
    </row>
    <row r="65" spans="1:4" x14ac:dyDescent="0.2">
      <c r="A65" t="str">
        <f>IF('ENC to Device Cables'!F144&lt;&gt;"",'ENC to Device Cables'!F144,"")</f>
        <v/>
      </c>
      <c r="B65" s="2" t="str">
        <f>IF(A65&lt;&gt;"",'ENC to Device Cables'!G144,"")</f>
        <v/>
      </c>
      <c r="C65" t="str">
        <f>IF(A65&lt;&gt;"",'ENC to Device Cables'!H144,"")</f>
        <v/>
      </c>
      <c r="D65" s="1" t="str">
        <f>IF(A65&lt;&gt;"",'ENC to Device Cables'!I144,"")</f>
        <v/>
      </c>
    </row>
    <row r="66" spans="1:4" x14ac:dyDescent="0.2">
      <c r="A66" t="str">
        <f>IF('ENC to Device Cables'!F145&lt;&gt;"",'ENC to Device Cables'!F145,"")</f>
        <v/>
      </c>
      <c r="B66" s="2" t="str">
        <f>IF(A66&lt;&gt;"",'ENC to Device Cables'!G145,"")</f>
        <v/>
      </c>
      <c r="C66" t="str">
        <f>IF(A66&lt;&gt;"",'ENC to Device Cables'!H145,"")</f>
        <v/>
      </c>
      <c r="D66" s="1" t="str">
        <f>IF(A66&lt;&gt;"",'ENC to Device Cables'!I145,"")</f>
        <v/>
      </c>
    </row>
    <row r="67" spans="1:4" x14ac:dyDescent="0.2">
      <c r="A67" t="str">
        <f>IF('ENC to Device Cables'!F146&lt;&gt;"",'ENC to Device Cables'!F146,"")</f>
        <v/>
      </c>
      <c r="B67" s="2" t="str">
        <f>IF(A67&lt;&gt;"",'ENC to Device Cables'!G146,"")</f>
        <v/>
      </c>
      <c r="C67" t="str">
        <f>IF(A67&lt;&gt;"",'ENC to Device Cables'!H146,"")</f>
        <v/>
      </c>
      <c r="D67" s="1" t="str">
        <f>IF(A67&lt;&gt;"",'ENC to Device Cables'!I146,"")</f>
        <v/>
      </c>
    </row>
    <row r="68" spans="1:4" x14ac:dyDescent="0.2">
      <c r="A68" t="str">
        <f>IF('ENC to Device Cables'!F147&lt;&gt;"",'ENC to Device Cables'!F147,"")</f>
        <v/>
      </c>
      <c r="B68" s="2" t="str">
        <f>IF(A68&lt;&gt;"",'ENC to Device Cables'!G147,"")</f>
        <v/>
      </c>
      <c r="C68" t="str">
        <f>IF(A68&lt;&gt;"",'ENC to Device Cables'!H147,"")</f>
        <v/>
      </c>
      <c r="D68" s="1" t="str">
        <f>IF(A68&lt;&gt;"",'ENC to Device Cables'!I147,"")</f>
        <v/>
      </c>
    </row>
    <row r="69" spans="1:4" x14ac:dyDescent="0.2">
      <c r="A69" t="str">
        <f>IF('ENC to Device Cables'!F148&lt;&gt;"",'ENC to Device Cables'!F148,"")</f>
        <v/>
      </c>
      <c r="B69" s="2" t="str">
        <f>IF(A69&lt;&gt;"",'ENC to Device Cables'!G148,"")</f>
        <v/>
      </c>
      <c r="C69" t="str">
        <f>IF(A69&lt;&gt;"",'ENC to Device Cables'!H148,"")</f>
        <v/>
      </c>
      <c r="D69" s="1" t="str">
        <f>IF(A69&lt;&gt;"",'ENC to Device Cables'!I148,"")</f>
        <v/>
      </c>
    </row>
    <row r="70" spans="1:4" x14ac:dyDescent="0.2">
      <c r="A70" t="str">
        <f>IF('ENC to Device Cables'!F149&lt;&gt;"",'ENC to Device Cables'!F149,"")</f>
        <v/>
      </c>
      <c r="B70" s="2" t="str">
        <f>IF(A70&lt;&gt;"",'ENC to Device Cables'!G149,"")</f>
        <v/>
      </c>
      <c r="C70" t="str">
        <f>IF(A70&lt;&gt;"",'ENC to Device Cables'!H149,"")</f>
        <v/>
      </c>
      <c r="D70" s="1" t="str">
        <f>IF(A70&lt;&gt;"",'ENC to Device Cables'!I149,"")</f>
        <v/>
      </c>
    </row>
    <row r="71" spans="1:4" x14ac:dyDescent="0.2">
      <c r="A71" t="str">
        <f>IF('ENC to Device Cables'!F150&lt;&gt;"",'ENC to Device Cables'!F150,"")</f>
        <v/>
      </c>
      <c r="B71" s="2" t="str">
        <f>IF(A71&lt;&gt;"",'ENC to Device Cables'!G150,"")</f>
        <v/>
      </c>
      <c r="C71" t="str">
        <f>IF(A71&lt;&gt;"",'ENC to Device Cables'!H150,"")</f>
        <v/>
      </c>
      <c r="D71" s="1" t="str">
        <f>IF(A71&lt;&gt;"",'ENC to Device Cables'!I150,"")</f>
        <v/>
      </c>
    </row>
    <row r="72" spans="1:4" x14ac:dyDescent="0.2">
      <c r="A72" t="str">
        <f>IF('ENC to Device Cables'!F151&lt;&gt;"",'ENC to Device Cables'!F151,"")</f>
        <v/>
      </c>
      <c r="B72" s="2" t="str">
        <f>IF(A72&lt;&gt;"",'ENC to Device Cables'!G151,"")</f>
        <v/>
      </c>
      <c r="C72" t="str">
        <f>IF(A72&lt;&gt;"",'ENC to Device Cables'!H151,"")</f>
        <v/>
      </c>
      <c r="D72" s="1" t="str">
        <f>IF(A72&lt;&gt;"",'ENC to Device Cables'!I151,"")</f>
        <v/>
      </c>
    </row>
    <row r="73" spans="1:4" x14ac:dyDescent="0.2">
      <c r="A73" t="str">
        <f>IF('ENC to Device Cables'!F152&lt;&gt;"",'ENC to Device Cables'!F152,"")</f>
        <v/>
      </c>
      <c r="B73" s="2" t="str">
        <f>IF(A73&lt;&gt;"",'ENC to Device Cables'!G152,"")</f>
        <v/>
      </c>
      <c r="C73" t="str">
        <f>IF(A73&lt;&gt;"",'ENC to Device Cables'!H152,"")</f>
        <v/>
      </c>
      <c r="D73" s="1" t="str">
        <f>IF(A73&lt;&gt;"",'ENC to Device Cables'!I152,"")</f>
        <v/>
      </c>
    </row>
    <row r="74" spans="1:4" x14ac:dyDescent="0.2">
      <c r="A74" t="str">
        <f>IF('ENC to Device Cables'!F153&lt;&gt;"",'ENC to Device Cables'!F153,"")</f>
        <v/>
      </c>
      <c r="B74" s="2" t="str">
        <f>IF(A74&lt;&gt;"",'ENC to Device Cables'!G153,"")</f>
        <v/>
      </c>
      <c r="C74" t="str">
        <f>IF(A74&lt;&gt;"",'ENC to Device Cables'!H153,"")</f>
        <v/>
      </c>
      <c r="D74" s="1" t="str">
        <f>IF(A74&lt;&gt;"",'ENC to Device Cables'!I153,"")</f>
        <v/>
      </c>
    </row>
    <row r="75" spans="1:4" x14ac:dyDescent="0.2">
      <c r="A75" t="str">
        <f>IF('ENC to Device Cables'!F154&lt;&gt;"",'ENC to Device Cables'!F154,"")</f>
        <v/>
      </c>
      <c r="B75" s="2" t="str">
        <f>IF(A75&lt;&gt;"",'ENC to Device Cables'!G154,"")</f>
        <v/>
      </c>
      <c r="C75" t="str">
        <f>IF(A75&lt;&gt;"",'ENC to Device Cables'!H154,"")</f>
        <v/>
      </c>
      <c r="D75" s="1" t="str">
        <f>IF(A75&lt;&gt;"",'ENC to Device Cables'!I154,"")</f>
        <v/>
      </c>
    </row>
    <row r="76" spans="1:4" x14ac:dyDescent="0.2">
      <c r="A76" t="str">
        <f>IF('ENC to Device Cables'!F155&lt;&gt;"",'ENC to Device Cables'!F155,"")</f>
        <v/>
      </c>
      <c r="B76" s="2" t="str">
        <f>IF(A76&lt;&gt;"",'ENC to Device Cables'!G155,"")</f>
        <v/>
      </c>
      <c r="C76" t="str">
        <f>IF(A76&lt;&gt;"",'ENC to Device Cables'!H155,"")</f>
        <v/>
      </c>
      <c r="D76" s="1" t="str">
        <f>IF(A76&lt;&gt;"",'ENC to Device Cables'!I155,"")</f>
        <v/>
      </c>
    </row>
    <row r="77" spans="1:4" x14ac:dyDescent="0.2">
      <c r="A77" t="str">
        <f>IF('ENC to Device Cables'!F156&lt;&gt;"",'ENC to Device Cables'!F156,"")</f>
        <v/>
      </c>
      <c r="B77" s="2" t="str">
        <f>IF(A77&lt;&gt;"",'ENC to Device Cables'!G156,"")</f>
        <v/>
      </c>
      <c r="C77" t="str">
        <f>IF(A77&lt;&gt;"",'ENC to Device Cables'!H156,"")</f>
        <v/>
      </c>
      <c r="D77" s="1" t="str">
        <f>IF(A77&lt;&gt;"",'ENC to Device Cables'!I156,"")</f>
        <v/>
      </c>
    </row>
    <row r="78" spans="1:4" x14ac:dyDescent="0.2">
      <c r="A78" t="str">
        <f>IF('ENC to Device Cables'!F157&lt;&gt;"",'ENC to Device Cables'!F157,"")</f>
        <v/>
      </c>
      <c r="B78" s="2" t="str">
        <f>IF(A78&lt;&gt;"",'ENC to Device Cables'!G157,"")</f>
        <v/>
      </c>
      <c r="C78" t="str">
        <f>IF(A78&lt;&gt;"",'ENC to Device Cables'!H157,"")</f>
        <v/>
      </c>
      <c r="D78" s="1" t="str">
        <f>IF(A78&lt;&gt;"",'ENC to Device Cables'!I157,"")</f>
        <v/>
      </c>
    </row>
    <row r="79" spans="1:4" x14ac:dyDescent="0.2">
      <c r="A79" t="str">
        <f>IF('ENC to Device Cables'!F158&lt;&gt;"",'ENC to Device Cables'!F158,"")</f>
        <v/>
      </c>
      <c r="B79" s="2" t="str">
        <f>IF(A79&lt;&gt;"",'ENC to Device Cables'!G158,"")</f>
        <v/>
      </c>
      <c r="C79" t="str">
        <f>IF(A79&lt;&gt;"",'ENC to Device Cables'!H158,"")</f>
        <v/>
      </c>
      <c r="D79" s="1" t="str">
        <f>IF(A79&lt;&gt;"",'ENC to Device Cables'!I158,"")</f>
        <v/>
      </c>
    </row>
    <row r="80" spans="1:4" x14ac:dyDescent="0.2">
      <c r="A80" t="str">
        <f>IF('ENC to Device Cables'!F159&lt;&gt;"",'ENC to Device Cables'!F159,"")</f>
        <v/>
      </c>
      <c r="B80" s="2" t="str">
        <f>IF(A80&lt;&gt;"",'ENC to Device Cables'!G159,"")</f>
        <v/>
      </c>
      <c r="C80" t="str">
        <f>IF(A80&lt;&gt;"",'ENC to Device Cables'!H159,"")</f>
        <v/>
      </c>
      <c r="D80" s="1" t="str">
        <f>IF(A80&lt;&gt;"",'ENC to Device Cables'!I159,"")</f>
        <v/>
      </c>
    </row>
    <row r="81" spans="1:4" x14ac:dyDescent="0.2">
      <c r="A81" t="str">
        <f>IF('ENC to Device Cables'!F160&lt;&gt;"",'ENC to Device Cables'!F160,"")</f>
        <v/>
      </c>
      <c r="B81" s="2" t="str">
        <f>IF(A81&lt;&gt;"",'ENC to Device Cables'!G160,"")</f>
        <v/>
      </c>
      <c r="C81" t="str">
        <f>IF(A81&lt;&gt;"",'ENC to Device Cables'!H160,"")</f>
        <v/>
      </c>
      <c r="D81" s="1" t="str">
        <f>IF(A81&lt;&gt;"",'ENC to Device Cables'!I160,"")</f>
        <v/>
      </c>
    </row>
    <row r="82" spans="1:4" x14ac:dyDescent="0.2">
      <c r="A82" t="str">
        <f>IF('ENC to Device Cables'!F161&lt;&gt;"",'ENC to Device Cables'!F161,"")</f>
        <v/>
      </c>
      <c r="B82" s="2" t="str">
        <f>IF(A82&lt;&gt;"",'ENC to Device Cables'!G161,"")</f>
        <v/>
      </c>
      <c r="C82" t="str">
        <f>IF(A82&lt;&gt;"",'ENC to Device Cables'!H161,"")</f>
        <v/>
      </c>
      <c r="D82" s="1" t="str">
        <f>IF(A82&lt;&gt;"",'ENC to Device Cables'!I161,"")</f>
        <v/>
      </c>
    </row>
    <row r="83" spans="1:4" x14ac:dyDescent="0.2">
      <c r="A83" t="str">
        <f>IF('ENC to Device Cables'!F162&lt;&gt;"",'ENC to Device Cables'!F162,"")</f>
        <v/>
      </c>
      <c r="B83" s="2" t="str">
        <f>IF(A83&lt;&gt;"",'ENC to Device Cables'!G162,"")</f>
        <v/>
      </c>
      <c r="C83" t="str">
        <f>IF(A83&lt;&gt;"",'ENC to Device Cables'!H162,"")</f>
        <v/>
      </c>
      <c r="D83" s="1" t="str">
        <f>IF(A83&lt;&gt;"",'ENC to Device Cables'!I162,"")</f>
        <v/>
      </c>
    </row>
    <row r="84" spans="1:4" x14ac:dyDescent="0.2">
      <c r="A84" t="str">
        <f>IF('ENC to Device Cables'!F163&lt;&gt;"",'ENC to Device Cables'!F163,"")</f>
        <v/>
      </c>
      <c r="B84" s="2" t="str">
        <f>IF(A84&lt;&gt;"",'ENC to Device Cables'!G163,"")</f>
        <v/>
      </c>
      <c r="C84" t="str">
        <f>IF(A84&lt;&gt;"",'ENC to Device Cables'!H163,"")</f>
        <v/>
      </c>
      <c r="D84" s="1" t="str">
        <f>IF(A84&lt;&gt;"",'ENC to Device Cables'!I163,"")</f>
        <v/>
      </c>
    </row>
    <row r="85" spans="1:4" x14ac:dyDescent="0.2">
      <c r="A85" t="str">
        <f>IF('ENC to Device Cables'!F164&lt;&gt;"",'ENC to Device Cables'!F164,"")</f>
        <v/>
      </c>
      <c r="B85" s="2" t="str">
        <f>IF(A85&lt;&gt;"",'ENC to Device Cables'!G164,"")</f>
        <v/>
      </c>
      <c r="C85" t="str">
        <f>IF(A85&lt;&gt;"",'ENC to Device Cables'!H164,"")</f>
        <v/>
      </c>
      <c r="D85" s="1" t="str">
        <f>IF(A85&lt;&gt;"",'ENC to Device Cables'!I164,"")</f>
        <v/>
      </c>
    </row>
    <row r="86" spans="1:4" x14ac:dyDescent="0.2">
      <c r="A86" t="str">
        <f>IF('ENC to Device Cables'!F165&lt;&gt;"",'ENC to Device Cables'!F165,"")</f>
        <v/>
      </c>
      <c r="B86" s="2" t="str">
        <f>IF(A86&lt;&gt;"",'ENC to Device Cables'!G165,"")</f>
        <v/>
      </c>
      <c r="C86" t="str">
        <f>IF(A86&lt;&gt;"",'ENC to Device Cables'!H165,"")</f>
        <v/>
      </c>
      <c r="D86" s="1" t="str">
        <f>IF(A86&lt;&gt;"",'ENC to Device Cables'!I165,"")</f>
        <v/>
      </c>
    </row>
    <row r="87" spans="1:4" x14ac:dyDescent="0.2">
      <c r="A87" t="str">
        <f>IF('ENC to Device Cables'!F166&lt;&gt;"",'ENC to Device Cables'!F166,"")</f>
        <v/>
      </c>
      <c r="B87" s="2" t="str">
        <f>IF(A87&lt;&gt;"",'ENC to Device Cables'!G166,"")</f>
        <v/>
      </c>
      <c r="C87" t="str">
        <f>IF(A87&lt;&gt;"",'ENC to Device Cables'!H166,"")</f>
        <v/>
      </c>
      <c r="D87" s="1" t="str">
        <f>IF(A87&lt;&gt;"",'ENC to Device Cables'!I166,"")</f>
        <v/>
      </c>
    </row>
    <row r="88" spans="1:4" x14ac:dyDescent="0.2">
      <c r="A88" t="str">
        <f>IF('ENC to Device Cables'!F167&lt;&gt;"",'ENC to Device Cables'!F167,"")</f>
        <v/>
      </c>
      <c r="B88" s="2" t="str">
        <f>IF(A88&lt;&gt;"",'ENC to Device Cables'!G167,"")</f>
        <v/>
      </c>
      <c r="C88" t="str">
        <f>IF(A88&lt;&gt;"",'ENC to Device Cables'!H167,"")</f>
        <v/>
      </c>
      <c r="D88" s="1" t="str">
        <f>IF(A88&lt;&gt;"",'ENC to Device Cables'!I167,"")</f>
        <v/>
      </c>
    </row>
    <row r="89" spans="1:4" x14ac:dyDescent="0.2">
      <c r="A89" t="str">
        <f>IF('ENC to Device Cables'!F168&lt;&gt;"",'ENC to Device Cables'!F168,"")</f>
        <v/>
      </c>
      <c r="B89" s="2" t="str">
        <f>IF(A89&lt;&gt;"",'ENC to Device Cables'!G168,"")</f>
        <v/>
      </c>
      <c r="C89" t="str">
        <f>IF(A89&lt;&gt;"",'ENC to Device Cables'!H168,"")</f>
        <v/>
      </c>
      <c r="D89" s="1" t="str">
        <f>IF(A89&lt;&gt;"",'ENC to Device Cables'!I168,"")</f>
        <v/>
      </c>
    </row>
    <row r="90" spans="1:4" x14ac:dyDescent="0.2">
      <c r="A90" t="str">
        <f>IF('ENC to Device Cables'!F169&lt;&gt;"",'ENC to Device Cables'!F169,"")</f>
        <v/>
      </c>
      <c r="B90" s="2" t="str">
        <f>IF(A90&lt;&gt;"",'ENC to Device Cables'!G169,"")</f>
        <v/>
      </c>
      <c r="C90" t="str">
        <f>IF(A90&lt;&gt;"",'ENC to Device Cables'!H169,"")</f>
        <v/>
      </c>
      <c r="D90" s="1" t="str">
        <f>IF(A90&lt;&gt;"",'ENC to Device Cables'!I169,"")</f>
        <v/>
      </c>
    </row>
    <row r="91" spans="1:4" x14ac:dyDescent="0.2">
      <c r="A91" t="str">
        <f>IF('ENC to Device Cables'!F170&lt;&gt;"",'ENC to Device Cables'!F170,"")</f>
        <v/>
      </c>
      <c r="B91" s="2" t="str">
        <f>IF(A91&lt;&gt;"",'ENC to Device Cables'!G170,"")</f>
        <v/>
      </c>
      <c r="C91" t="str">
        <f>IF(A91&lt;&gt;"",'ENC to Device Cables'!H170,"")</f>
        <v/>
      </c>
      <c r="D91" s="1" t="str">
        <f>IF(A91&lt;&gt;"",'ENC to Device Cables'!I170,"")</f>
        <v/>
      </c>
    </row>
    <row r="92" spans="1:4" x14ac:dyDescent="0.2">
      <c r="A92" t="str">
        <f>IF('ENC to Device Cables'!F171&lt;&gt;"",'ENC to Device Cables'!F171,"")</f>
        <v/>
      </c>
      <c r="B92" s="2" t="str">
        <f>IF(A92&lt;&gt;"",'ENC to Device Cables'!G171,"")</f>
        <v/>
      </c>
      <c r="C92" t="str">
        <f>IF(A92&lt;&gt;"",'ENC to Device Cables'!H171,"")</f>
        <v/>
      </c>
      <c r="D92" s="1" t="str">
        <f>IF(A92&lt;&gt;"",'ENC to Device Cables'!I171,"")</f>
        <v/>
      </c>
    </row>
    <row r="93" spans="1:4" x14ac:dyDescent="0.2">
      <c r="A93" t="str">
        <f>IF('ENC to Device Cables'!F172&lt;&gt;"",'ENC to Device Cables'!F172,"")</f>
        <v/>
      </c>
      <c r="B93" s="2" t="str">
        <f>IF(A93&lt;&gt;"",'ENC to Device Cables'!G172,"")</f>
        <v/>
      </c>
      <c r="C93" t="str">
        <f>IF(A93&lt;&gt;"",'ENC to Device Cables'!H172,"")</f>
        <v/>
      </c>
      <c r="D93" s="1" t="str">
        <f>IF(A93&lt;&gt;"",'ENC to Device Cables'!I172,"")</f>
        <v/>
      </c>
    </row>
    <row r="94" spans="1:4" x14ac:dyDescent="0.2">
      <c r="A94" t="str">
        <f>IF('ENC to Device Cables'!F173&lt;&gt;"",'ENC to Device Cables'!F173,"")</f>
        <v/>
      </c>
      <c r="B94" s="2" t="str">
        <f>IF(A94&lt;&gt;"",'ENC to Device Cables'!G173,"")</f>
        <v/>
      </c>
      <c r="C94" t="str">
        <f>IF(A94&lt;&gt;"",'ENC to Device Cables'!H173,"")</f>
        <v/>
      </c>
      <c r="D94" s="1" t="str">
        <f>IF(A94&lt;&gt;"",'ENC to Device Cables'!I173,"")</f>
        <v/>
      </c>
    </row>
    <row r="95" spans="1:4" x14ac:dyDescent="0.2">
      <c r="A95" t="str">
        <f>IF('ENC to Device Cables'!F174&lt;&gt;"",'ENC to Device Cables'!F174,"")</f>
        <v/>
      </c>
      <c r="B95" s="2" t="str">
        <f>IF(A95&lt;&gt;"",'ENC to Device Cables'!G174,"")</f>
        <v/>
      </c>
      <c r="C95" t="str">
        <f>IF(A95&lt;&gt;"",'ENC to Device Cables'!H174,"")</f>
        <v/>
      </c>
      <c r="D95" s="1" t="str">
        <f>IF(A95&lt;&gt;"",'ENC to Device Cables'!I174,"")</f>
        <v/>
      </c>
    </row>
    <row r="96" spans="1:4" x14ac:dyDescent="0.2">
      <c r="A96" t="str">
        <f>IF('ENC to Device Cables'!F175&lt;&gt;"",'ENC to Device Cables'!F175,"")</f>
        <v/>
      </c>
      <c r="B96" s="2" t="str">
        <f>IF(A96&lt;&gt;"",'ENC to Device Cables'!G175,"")</f>
        <v/>
      </c>
      <c r="C96" t="str">
        <f>IF(A96&lt;&gt;"",'ENC to Device Cables'!H175,"")</f>
        <v/>
      </c>
      <c r="D96" s="1" t="str">
        <f>IF(A96&lt;&gt;"",'ENC to Device Cables'!I175,"")</f>
        <v/>
      </c>
    </row>
    <row r="97" spans="1:4" x14ac:dyDescent="0.2">
      <c r="A97" t="str">
        <f>IF('ENC to Device Cables'!F176&lt;&gt;"",'ENC to Device Cables'!F176,"")</f>
        <v/>
      </c>
      <c r="B97" s="2" t="str">
        <f>IF(A97&lt;&gt;"",'ENC to Device Cables'!G176,"")</f>
        <v/>
      </c>
      <c r="C97" t="str">
        <f>IF(A97&lt;&gt;"",'ENC to Device Cables'!H176,"")</f>
        <v/>
      </c>
      <c r="D97" s="1" t="str">
        <f>IF(A97&lt;&gt;"",'ENC to Device Cables'!I176,"")</f>
        <v/>
      </c>
    </row>
    <row r="98" spans="1:4" x14ac:dyDescent="0.2">
      <c r="A98" t="str">
        <f>IF('ENC to Device Cables'!F177&lt;&gt;"",'ENC to Device Cables'!F177,"")</f>
        <v/>
      </c>
      <c r="B98" s="2" t="str">
        <f>IF(A98&lt;&gt;"",'ENC to Device Cables'!G177,"")</f>
        <v/>
      </c>
      <c r="C98" t="str">
        <f>IF(A98&lt;&gt;"",'ENC to Device Cables'!H177,"")</f>
        <v/>
      </c>
      <c r="D98" s="1" t="str">
        <f>IF(A98&lt;&gt;"",'ENC to Device Cables'!I177,"")</f>
        <v/>
      </c>
    </row>
    <row r="99" spans="1:4" x14ac:dyDescent="0.2">
      <c r="A99" t="str">
        <f>IF('ENC to Device Cables'!F178&lt;&gt;"",'ENC to Device Cables'!F178,"")</f>
        <v/>
      </c>
      <c r="B99" s="2" t="str">
        <f>IF(A99&lt;&gt;"",'ENC to Device Cables'!G178,"")</f>
        <v/>
      </c>
      <c r="C99" t="str">
        <f>IF(A99&lt;&gt;"",'ENC to Device Cables'!H178,"")</f>
        <v/>
      </c>
      <c r="D99" s="1" t="str">
        <f>IF(A99&lt;&gt;"",'ENC to Device Cables'!I178,"")</f>
        <v/>
      </c>
    </row>
    <row r="100" spans="1:4" x14ac:dyDescent="0.2">
      <c r="A100" t="str">
        <f>IF('ENC to Device Cables'!F179&lt;&gt;"",'ENC to Device Cables'!F179,"")</f>
        <v/>
      </c>
      <c r="B100" s="2" t="str">
        <f>IF(A100&lt;&gt;"",'ENC to Device Cables'!G179,"")</f>
        <v/>
      </c>
      <c r="C100" t="str">
        <f>IF(A100&lt;&gt;"",'ENC to Device Cables'!H179,"")</f>
        <v/>
      </c>
      <c r="D100" s="1" t="str">
        <f>IF(A100&lt;&gt;"",'ENC to Device Cables'!I179,"")</f>
        <v/>
      </c>
    </row>
    <row r="101" spans="1:4" x14ac:dyDescent="0.2">
      <c r="A101" t="str">
        <f>IF('ENC to Device Cables'!F180&lt;&gt;"",'ENC to Device Cables'!F180,"")</f>
        <v/>
      </c>
      <c r="B101" s="2" t="str">
        <f>IF(A101&lt;&gt;"",'ENC to Device Cables'!G180,"")</f>
        <v/>
      </c>
      <c r="C101" t="str">
        <f>IF(A101&lt;&gt;"",'ENC to Device Cables'!H180,"")</f>
        <v/>
      </c>
      <c r="D101" s="1" t="str">
        <f>IF(A101&lt;&gt;"",'ENC to Device Cables'!I180,"")</f>
        <v/>
      </c>
    </row>
    <row r="102" spans="1:4" x14ac:dyDescent="0.2">
      <c r="A102" t="str">
        <f>IF('ENC to Device Cables'!F181&lt;&gt;"",'ENC to Device Cables'!F181,"")</f>
        <v/>
      </c>
      <c r="B102" s="2" t="str">
        <f>IF(A102&lt;&gt;"",'ENC to Device Cables'!G181,"")</f>
        <v/>
      </c>
      <c r="C102" t="str">
        <f>IF(A102&lt;&gt;"",'ENC to Device Cables'!H181,"")</f>
        <v/>
      </c>
      <c r="D102" s="1" t="str">
        <f>IF(A102&lt;&gt;"",'ENC to Device Cables'!I181,"")</f>
        <v/>
      </c>
    </row>
    <row r="103" spans="1:4" x14ac:dyDescent="0.2">
      <c r="A103" t="str">
        <f>IF('ENC to Device Cables'!F182&lt;&gt;"",'ENC to Device Cables'!F182,"")</f>
        <v/>
      </c>
      <c r="B103" s="2" t="str">
        <f>IF(A103&lt;&gt;"",'ENC to Device Cables'!G182,"")</f>
        <v/>
      </c>
      <c r="C103" t="str">
        <f>IF(A103&lt;&gt;"",'ENC to Device Cables'!H182,"")</f>
        <v/>
      </c>
      <c r="D103" s="1" t="str">
        <f>IF(A103&lt;&gt;"",'ENC to Device Cables'!I182,"")</f>
        <v/>
      </c>
    </row>
    <row r="104" spans="1:4" x14ac:dyDescent="0.2">
      <c r="A104" t="str">
        <f>IF('ENC to Device Cables'!F183&lt;&gt;"",'ENC to Device Cables'!F183,"")</f>
        <v/>
      </c>
      <c r="B104" s="2" t="str">
        <f>IF(A104&lt;&gt;"",'ENC to Device Cables'!G183,"")</f>
        <v/>
      </c>
      <c r="C104" t="str">
        <f>IF(A104&lt;&gt;"",'ENC to Device Cables'!H183,"")</f>
        <v/>
      </c>
      <c r="D104" s="1" t="str">
        <f>IF(A104&lt;&gt;"",'ENC to Device Cables'!I183,"")</f>
        <v/>
      </c>
    </row>
    <row r="105" spans="1:4" x14ac:dyDescent="0.2">
      <c r="A105" t="str">
        <f>IF('ENC to Device Cables'!F184&lt;&gt;"",'ENC to Device Cables'!F184,"")</f>
        <v/>
      </c>
      <c r="B105" s="2" t="str">
        <f>IF(A105&lt;&gt;"",'ENC to Device Cables'!G184,"")</f>
        <v/>
      </c>
      <c r="C105" t="str">
        <f>IF(A105&lt;&gt;"",'ENC to Device Cables'!H184,"")</f>
        <v/>
      </c>
      <c r="D105" s="1" t="str">
        <f>IF(A105&lt;&gt;"",'ENC to Device Cables'!I184,"")</f>
        <v/>
      </c>
    </row>
    <row r="106" spans="1:4" x14ac:dyDescent="0.2">
      <c r="A106" t="str">
        <f>IF('ENC to Device Cables'!F185&lt;&gt;"",'ENC to Device Cables'!F185,"")</f>
        <v/>
      </c>
      <c r="B106" s="2" t="str">
        <f>IF(A106&lt;&gt;"",'ENC to Device Cables'!G185,"")</f>
        <v/>
      </c>
      <c r="C106" t="str">
        <f>IF(A106&lt;&gt;"",'ENC to Device Cables'!H185,"")</f>
        <v/>
      </c>
      <c r="D106" s="1" t="str">
        <f>IF(A106&lt;&gt;"",'ENC to Device Cables'!I185,"")</f>
        <v/>
      </c>
    </row>
    <row r="107" spans="1:4" x14ac:dyDescent="0.2">
      <c r="A107" t="str">
        <f>IF('ENC to Device Cables'!F186&lt;&gt;"",'ENC to Device Cables'!F186,"")</f>
        <v/>
      </c>
      <c r="B107" s="2" t="str">
        <f>IF(A107&lt;&gt;"",'ENC to Device Cables'!G186,"")</f>
        <v/>
      </c>
      <c r="C107" t="str">
        <f>IF(A107&lt;&gt;"",'ENC to Device Cables'!H186,"")</f>
        <v/>
      </c>
      <c r="D107" s="1" t="str">
        <f>IF(A107&lt;&gt;"",'ENC to Device Cables'!I186,"")</f>
        <v/>
      </c>
    </row>
    <row r="108" spans="1:4" x14ac:dyDescent="0.2">
      <c r="A108" t="str">
        <f>IF('ENC to Device Cables'!F187&lt;&gt;"",'ENC to Device Cables'!F187,"")</f>
        <v/>
      </c>
      <c r="B108" s="2" t="str">
        <f>IF(A108&lt;&gt;"",'ENC to Device Cables'!G187,"")</f>
        <v/>
      </c>
      <c r="C108" t="str">
        <f>IF(A108&lt;&gt;"",'ENC to Device Cables'!H187,"")</f>
        <v/>
      </c>
      <c r="D108" s="1" t="str">
        <f>IF(A108&lt;&gt;"",'ENC to Device Cables'!I187,"")</f>
        <v/>
      </c>
    </row>
    <row r="109" spans="1:4" x14ac:dyDescent="0.2">
      <c r="A109" t="str">
        <f>IF('ENC to Device Cables'!F188&lt;&gt;"",'ENC to Device Cables'!F188,"")</f>
        <v/>
      </c>
      <c r="B109" s="2" t="str">
        <f>IF(A109&lt;&gt;"",'ENC to Device Cables'!G188,"")</f>
        <v/>
      </c>
      <c r="C109" t="str">
        <f>IF(A109&lt;&gt;"",'ENC to Device Cables'!H188,"")</f>
        <v/>
      </c>
      <c r="D109" s="1" t="str">
        <f>IF(A109&lt;&gt;"",'ENC to Device Cables'!I188,"")</f>
        <v/>
      </c>
    </row>
    <row r="110" spans="1:4" x14ac:dyDescent="0.2">
      <c r="A110" t="str">
        <f>IF('ENC to Device Cables'!F189&lt;&gt;"",'ENC to Device Cables'!F189,"")</f>
        <v/>
      </c>
      <c r="B110" s="2" t="str">
        <f>IF(A110&lt;&gt;"",'ENC to Device Cables'!G189,"")</f>
        <v/>
      </c>
      <c r="C110" t="str">
        <f>IF(A110&lt;&gt;"",'ENC to Device Cables'!H189,"")</f>
        <v/>
      </c>
      <c r="D110" s="1" t="str">
        <f>IF(A110&lt;&gt;"",'ENC to Device Cables'!I189,"")</f>
        <v/>
      </c>
    </row>
    <row r="111" spans="1:4" x14ac:dyDescent="0.2">
      <c r="A111" t="str">
        <f>IF('ENC to Device Cables'!F190&lt;&gt;"",'ENC to Device Cables'!F190,"")</f>
        <v/>
      </c>
      <c r="B111" s="2" t="str">
        <f>IF(A111&lt;&gt;"",'ENC to Device Cables'!G190,"")</f>
        <v/>
      </c>
      <c r="C111" t="str">
        <f>IF(A111&lt;&gt;"",'ENC to Device Cables'!H190,"")</f>
        <v/>
      </c>
      <c r="D111" s="1" t="str">
        <f>IF(A111&lt;&gt;"",'ENC to Device Cables'!I190,"")</f>
        <v/>
      </c>
    </row>
    <row r="112" spans="1:4" x14ac:dyDescent="0.2">
      <c r="A112" t="str">
        <f>IF('ENC to Device Cables'!F191&lt;&gt;"",'ENC to Device Cables'!F191,"")</f>
        <v/>
      </c>
      <c r="B112" s="2" t="str">
        <f>IF(A112&lt;&gt;"",'ENC to Device Cables'!G191,"")</f>
        <v/>
      </c>
      <c r="C112" t="str">
        <f>IF(A112&lt;&gt;"",'ENC to Device Cables'!H191,"")</f>
        <v/>
      </c>
      <c r="D112" s="1" t="str">
        <f>IF(A112&lt;&gt;"",'ENC to Device Cables'!I191,"")</f>
        <v/>
      </c>
    </row>
    <row r="113" spans="1:4" x14ac:dyDescent="0.2">
      <c r="A113" t="str">
        <f>IF('ENC to Device Cables'!F192&lt;&gt;"",'ENC to Device Cables'!F192,"")</f>
        <v/>
      </c>
      <c r="B113" s="2" t="str">
        <f>IF(A113&lt;&gt;"",'ENC to Device Cables'!G192,"")</f>
        <v/>
      </c>
      <c r="C113" t="str">
        <f>IF(A113&lt;&gt;"",'ENC to Device Cables'!H192,"")</f>
        <v/>
      </c>
      <c r="D113" s="1" t="str">
        <f>IF(A113&lt;&gt;"",'ENC to Device Cables'!I192,"")</f>
        <v/>
      </c>
    </row>
    <row r="114" spans="1:4" x14ac:dyDescent="0.2">
      <c r="A114" t="str">
        <f>IF('ENC to Device Cables'!F193&lt;&gt;"",'ENC to Device Cables'!F193,"")</f>
        <v/>
      </c>
      <c r="B114" s="2" t="str">
        <f>IF(A114&lt;&gt;"",'ENC to Device Cables'!G193,"")</f>
        <v/>
      </c>
      <c r="C114" t="str">
        <f>IF(A114&lt;&gt;"",'ENC to Device Cables'!H193,"")</f>
        <v/>
      </c>
      <c r="D114" s="1" t="str">
        <f>IF(A114&lt;&gt;"",'ENC to Device Cables'!I193,"")</f>
        <v/>
      </c>
    </row>
    <row r="115" spans="1:4" x14ac:dyDescent="0.2">
      <c r="A115" t="str">
        <f>IF('ENC to Device Cables'!F194&lt;&gt;"",'ENC to Device Cables'!F194,"")</f>
        <v/>
      </c>
      <c r="B115" s="2" t="str">
        <f>IF(A115&lt;&gt;"",'ENC to Device Cables'!G194,"")</f>
        <v/>
      </c>
      <c r="C115" t="str">
        <f>IF(A115&lt;&gt;"",'ENC to Device Cables'!H194,"")</f>
        <v/>
      </c>
      <c r="D115" s="1" t="str">
        <f>IF(A115&lt;&gt;"",'ENC to Device Cables'!I194,"")</f>
        <v/>
      </c>
    </row>
    <row r="116" spans="1:4" x14ac:dyDescent="0.2">
      <c r="A116" t="str">
        <f>IF('ENC to Device Cables'!F195&lt;&gt;"",'ENC to Device Cables'!F195,"")</f>
        <v/>
      </c>
      <c r="B116" s="2" t="str">
        <f>IF(A116&lt;&gt;"",'ENC to Device Cables'!G195,"")</f>
        <v/>
      </c>
      <c r="C116" t="str">
        <f>IF(A116&lt;&gt;"",'ENC to Device Cables'!H195,"")</f>
        <v/>
      </c>
      <c r="D116" s="1" t="str">
        <f>IF(A116&lt;&gt;"",'ENC to Device Cables'!I195,"")</f>
        <v/>
      </c>
    </row>
    <row r="117" spans="1:4" x14ac:dyDescent="0.2">
      <c r="A117" t="str">
        <f>IF('ENC to Device Cables'!F196&lt;&gt;"",'ENC to Device Cables'!F196,"")</f>
        <v/>
      </c>
      <c r="B117" s="2" t="str">
        <f>IF(A117&lt;&gt;"",'ENC to Device Cables'!G196,"")</f>
        <v/>
      </c>
      <c r="C117" t="str">
        <f>IF(A117&lt;&gt;"",'ENC to Device Cables'!H196,"")</f>
        <v/>
      </c>
      <c r="D117" s="1" t="str">
        <f>IF(A117&lt;&gt;"",'ENC to Device Cables'!I196,"")</f>
        <v/>
      </c>
    </row>
    <row r="118" spans="1:4" x14ac:dyDescent="0.2">
      <c r="A118" t="str">
        <f>IF('ENC to Device Cables'!F197&lt;&gt;"",'ENC to Device Cables'!F197,"")</f>
        <v/>
      </c>
      <c r="B118" s="2" t="str">
        <f>IF(A118&lt;&gt;"",'ENC to Device Cables'!G197,"")</f>
        <v/>
      </c>
      <c r="C118" t="str">
        <f>IF(A118&lt;&gt;"",'ENC to Device Cables'!H197,"")</f>
        <v/>
      </c>
      <c r="D118" s="1" t="str">
        <f>IF(A118&lt;&gt;"",'ENC to Device Cables'!I197,"")</f>
        <v/>
      </c>
    </row>
    <row r="119" spans="1:4" x14ac:dyDescent="0.2">
      <c r="A119" t="str">
        <f>IF('ENC to Device Cables'!F198&lt;&gt;"",'ENC to Device Cables'!F198,"")</f>
        <v/>
      </c>
      <c r="B119" s="2" t="str">
        <f>IF(A119&lt;&gt;"",'ENC to Device Cables'!G198,"")</f>
        <v/>
      </c>
      <c r="C119" t="str">
        <f>IF(A119&lt;&gt;"",'ENC to Device Cables'!H198,"")</f>
        <v/>
      </c>
      <c r="D119" s="1" t="str">
        <f>IF(A119&lt;&gt;"",'ENC to Device Cables'!I198,"")</f>
        <v/>
      </c>
    </row>
    <row r="120" spans="1:4" x14ac:dyDescent="0.2">
      <c r="A120" t="str">
        <f>IF('ENC to Device Cables'!F199&lt;&gt;"",'ENC to Device Cables'!F199,"")</f>
        <v/>
      </c>
      <c r="B120" s="2" t="str">
        <f>IF(A120&lt;&gt;"",'ENC to Device Cables'!G199,"")</f>
        <v/>
      </c>
      <c r="C120" t="str">
        <f>IF(A120&lt;&gt;"",'ENC to Device Cables'!H199,"")</f>
        <v/>
      </c>
      <c r="D120" s="1" t="str">
        <f>IF(A120&lt;&gt;"",'ENC to Device Cables'!I199,"")</f>
        <v/>
      </c>
    </row>
    <row r="121" spans="1:4" x14ac:dyDescent="0.2">
      <c r="A121" t="str">
        <f>IF('ENC to Device Cables'!F200&lt;&gt;"",'ENC to Device Cables'!F200,"")</f>
        <v/>
      </c>
      <c r="B121" s="2" t="str">
        <f>IF(A121&lt;&gt;"",'ENC to Device Cables'!G200,"")</f>
        <v/>
      </c>
      <c r="C121" t="str">
        <f>IF(A121&lt;&gt;"",'ENC to Device Cables'!H200,"")</f>
        <v/>
      </c>
      <c r="D121" s="1" t="str">
        <f>IF(A121&lt;&gt;"",'ENC to Device Cables'!I200,"")</f>
        <v/>
      </c>
    </row>
    <row r="122" spans="1:4" x14ac:dyDescent="0.2">
      <c r="A122" t="str">
        <f>IF('ENC to Device Cables'!F201&lt;&gt;"",'ENC to Device Cables'!F201,"")</f>
        <v/>
      </c>
      <c r="B122" s="2" t="str">
        <f>IF(A122&lt;&gt;"",'ENC to Device Cables'!G201,"")</f>
        <v/>
      </c>
      <c r="C122" t="str">
        <f>IF(A122&lt;&gt;"",'ENC to Device Cables'!H201,"")</f>
        <v/>
      </c>
      <c r="D122" s="1" t="str">
        <f>IF(A122&lt;&gt;"",'ENC to Device Cables'!I201,"")</f>
        <v/>
      </c>
    </row>
    <row r="123" spans="1:4" x14ac:dyDescent="0.2">
      <c r="A123" t="str">
        <f>IF('ENC to Device Cables'!F202&lt;&gt;"",'ENC to Device Cables'!F202,"")</f>
        <v/>
      </c>
      <c r="B123" s="2" t="str">
        <f>IF(A123&lt;&gt;"",'ENC to Device Cables'!G202,"")</f>
        <v/>
      </c>
      <c r="C123" t="str">
        <f>IF(A123&lt;&gt;"",'ENC to Device Cables'!H202,"")</f>
        <v/>
      </c>
      <c r="D123" s="1" t="str">
        <f>IF(A123&lt;&gt;"",'ENC to Device Cables'!I202,"")</f>
        <v/>
      </c>
    </row>
    <row r="124" spans="1:4" x14ac:dyDescent="0.2">
      <c r="A124" t="str">
        <f>IF('ENC to Device Cables'!F203&lt;&gt;"",'ENC to Device Cables'!F203,"")</f>
        <v/>
      </c>
      <c r="B124" s="2" t="str">
        <f>IF(A124&lt;&gt;"",'ENC to Device Cables'!G203,"")</f>
        <v/>
      </c>
      <c r="C124" t="str">
        <f>IF(A124&lt;&gt;"",'ENC to Device Cables'!H203,"")</f>
        <v/>
      </c>
      <c r="D124" s="1" t="str">
        <f>IF(A124&lt;&gt;"",'ENC to Device Cables'!I203,"")</f>
        <v/>
      </c>
    </row>
    <row r="125" spans="1:4" x14ac:dyDescent="0.2">
      <c r="A125" t="str">
        <f>IF('ENC to Device Cables'!F204&lt;&gt;"",'ENC to Device Cables'!F204,"")</f>
        <v/>
      </c>
      <c r="B125" s="2" t="str">
        <f>IF(A125&lt;&gt;"",'ENC to Device Cables'!G204,"")</f>
        <v/>
      </c>
      <c r="C125" t="str">
        <f>IF(A125&lt;&gt;"",'ENC to Device Cables'!H204,"")</f>
        <v/>
      </c>
      <c r="D125" s="1" t="str">
        <f>IF(A125&lt;&gt;"",'ENC to Device Cables'!I204,"")</f>
        <v/>
      </c>
    </row>
    <row r="126" spans="1:4" x14ac:dyDescent="0.2">
      <c r="A126" t="str">
        <f>IF('ENC to Device Cables'!F205&lt;&gt;"",'ENC to Device Cables'!F205,"")</f>
        <v/>
      </c>
      <c r="B126" s="2" t="str">
        <f>IF(A126&lt;&gt;"",'ENC to Device Cables'!G205,"")</f>
        <v/>
      </c>
      <c r="C126" t="str">
        <f>IF(A126&lt;&gt;"",'ENC to Device Cables'!H205,"")</f>
        <v/>
      </c>
      <c r="D126" s="1" t="str">
        <f>IF(A126&lt;&gt;"",'ENC to Device Cables'!I205,"")</f>
        <v/>
      </c>
    </row>
    <row r="127" spans="1:4" x14ac:dyDescent="0.2">
      <c r="A127" t="str">
        <f>IF('ENC to Device Cables'!F206&lt;&gt;"",'ENC to Device Cables'!F206,"")</f>
        <v/>
      </c>
      <c r="B127" s="2" t="str">
        <f>IF(A127&lt;&gt;"",'ENC to Device Cables'!G206,"")</f>
        <v/>
      </c>
      <c r="C127" t="str">
        <f>IF(A127&lt;&gt;"",'ENC to Device Cables'!H206,"")</f>
        <v/>
      </c>
      <c r="D127" s="1" t="str">
        <f>IF(A127&lt;&gt;"",'ENC to Device Cables'!I206,"")</f>
        <v/>
      </c>
    </row>
    <row r="128" spans="1:4" x14ac:dyDescent="0.2">
      <c r="A128" t="str">
        <f>IF('ENC to Device Cables'!F207&lt;&gt;"",'ENC to Device Cables'!F207,"")</f>
        <v/>
      </c>
      <c r="B128" s="2" t="str">
        <f>IF(A128&lt;&gt;"",'ENC to Device Cables'!G207,"")</f>
        <v/>
      </c>
      <c r="C128" t="str">
        <f>IF(A128&lt;&gt;"",'ENC to Device Cables'!H207,"")</f>
        <v/>
      </c>
      <c r="D128" s="1" t="str">
        <f>IF(A128&lt;&gt;"",'ENC to Device Cables'!I207,"")</f>
        <v/>
      </c>
    </row>
    <row r="129" spans="1:4" x14ac:dyDescent="0.2">
      <c r="A129" t="str">
        <f>IF('ENC to Device Cables'!F208&lt;&gt;"",'ENC to Device Cables'!F208,"")</f>
        <v/>
      </c>
      <c r="B129" s="2" t="str">
        <f>IF(A129&lt;&gt;"",'ENC to Device Cables'!G208,"")</f>
        <v/>
      </c>
      <c r="C129" t="str">
        <f>IF(A129&lt;&gt;"",'ENC to Device Cables'!H208,"")</f>
        <v/>
      </c>
      <c r="D129" s="1" t="str">
        <f>IF(A129&lt;&gt;"",'ENC to Device Cables'!I208,"")</f>
        <v/>
      </c>
    </row>
    <row r="130" spans="1:4" x14ac:dyDescent="0.2">
      <c r="A130" t="str">
        <f>IF('ENC to Device Cables'!F209&lt;&gt;"",'ENC to Device Cables'!F209,"")</f>
        <v/>
      </c>
      <c r="B130" s="2" t="str">
        <f>IF(A130&lt;&gt;"",'ENC to Device Cables'!G209,"")</f>
        <v/>
      </c>
      <c r="C130" t="str">
        <f>IF(A130&lt;&gt;"",'ENC to Device Cables'!H209,"")</f>
        <v/>
      </c>
      <c r="D130" s="1" t="str">
        <f>IF(A130&lt;&gt;"",'ENC to Device Cables'!I209,"")</f>
        <v/>
      </c>
    </row>
    <row r="131" spans="1:4" x14ac:dyDescent="0.2">
      <c r="A131" t="str">
        <f>IF('ENC to Device Cables'!F210&lt;&gt;"",'ENC to Device Cables'!F210,"")</f>
        <v/>
      </c>
      <c r="B131" s="2" t="str">
        <f>IF(A131&lt;&gt;"",'ENC to Device Cables'!G210,"")</f>
        <v/>
      </c>
      <c r="C131" t="str">
        <f>IF(A131&lt;&gt;"",'ENC to Device Cables'!H210,"")</f>
        <v/>
      </c>
      <c r="D131" s="1" t="str">
        <f>IF(A131&lt;&gt;"",'ENC to Device Cables'!I210,"")</f>
        <v/>
      </c>
    </row>
    <row r="132" spans="1:4" x14ac:dyDescent="0.2">
      <c r="A132" t="str">
        <f>IF('ENC to Device Cables'!F211&lt;&gt;"",'ENC to Device Cables'!F211,"")</f>
        <v/>
      </c>
      <c r="B132" s="2" t="str">
        <f>IF(A132&lt;&gt;"",'ENC to Device Cables'!G211,"")</f>
        <v/>
      </c>
      <c r="C132" t="str">
        <f>IF(A132&lt;&gt;"",'ENC to Device Cables'!H211,"")</f>
        <v/>
      </c>
      <c r="D132" s="1" t="str">
        <f>IF(A132&lt;&gt;"",'ENC to Device Cables'!I211,"")</f>
        <v/>
      </c>
    </row>
    <row r="133" spans="1:4" x14ac:dyDescent="0.2">
      <c r="A133" t="str">
        <f>IF('ENC to Device Cables'!F212&lt;&gt;"",'ENC to Device Cables'!F212,"")</f>
        <v/>
      </c>
      <c r="B133" s="2" t="str">
        <f>IF(A133&lt;&gt;"",'ENC to Device Cables'!G212,"")</f>
        <v/>
      </c>
      <c r="C133" t="str">
        <f>IF(A133&lt;&gt;"",'ENC to Device Cables'!H212,"")</f>
        <v/>
      </c>
      <c r="D133" s="1" t="str">
        <f>IF(A133&lt;&gt;"",'ENC to Device Cables'!I212,"")</f>
        <v/>
      </c>
    </row>
    <row r="134" spans="1:4" x14ac:dyDescent="0.2">
      <c r="A134" t="str">
        <f>IF('ENC to Device Cables'!F213&lt;&gt;"",'ENC to Device Cables'!F213,"")</f>
        <v/>
      </c>
      <c r="B134" s="2" t="str">
        <f>IF(A134&lt;&gt;"",'ENC to Device Cables'!G213,"")</f>
        <v/>
      </c>
      <c r="C134" t="str">
        <f>IF(A134&lt;&gt;"",'ENC to Device Cables'!H213,"")</f>
        <v/>
      </c>
      <c r="D134" s="1" t="str">
        <f>IF(A134&lt;&gt;"",'ENC to Device Cables'!I213,"")</f>
        <v/>
      </c>
    </row>
    <row r="135" spans="1:4" x14ac:dyDescent="0.2">
      <c r="A135" t="str">
        <f>IF('ENC to Device Cables'!F214&lt;&gt;"",'ENC to Device Cables'!F214,"")</f>
        <v/>
      </c>
      <c r="B135" s="2" t="str">
        <f>IF(A135&lt;&gt;"",'ENC to Device Cables'!G214,"")</f>
        <v/>
      </c>
      <c r="C135" t="str">
        <f>IF(A135&lt;&gt;"",'ENC to Device Cables'!H214,"")</f>
        <v/>
      </c>
      <c r="D135" s="1" t="str">
        <f>IF(A135&lt;&gt;"",'ENC to Device Cables'!I214,"")</f>
        <v/>
      </c>
    </row>
    <row r="136" spans="1:4" x14ac:dyDescent="0.2">
      <c r="A136" t="str">
        <f>IF('ENC to Device Cables'!F215&lt;&gt;"",'ENC to Device Cables'!F215,"")</f>
        <v/>
      </c>
      <c r="B136" s="2" t="str">
        <f>IF(A136&lt;&gt;"",'ENC to Device Cables'!G215,"")</f>
        <v/>
      </c>
      <c r="C136" t="str">
        <f>IF(A136&lt;&gt;"",'ENC to Device Cables'!H215,"")</f>
        <v/>
      </c>
      <c r="D136" s="1" t="str">
        <f>IF(A136&lt;&gt;"",'ENC to Device Cables'!I215,"")</f>
        <v/>
      </c>
    </row>
    <row r="137" spans="1:4" x14ac:dyDescent="0.2">
      <c r="A137" t="str">
        <f>IF('ENC to Device Cables'!F216&lt;&gt;"",'ENC to Device Cables'!F216,"")</f>
        <v/>
      </c>
      <c r="B137" s="2" t="str">
        <f>IF(A137&lt;&gt;"",'ENC to Device Cables'!G216,"")</f>
        <v/>
      </c>
      <c r="C137" t="str">
        <f>IF(A137&lt;&gt;"",'ENC to Device Cables'!H216,"")</f>
        <v/>
      </c>
      <c r="D137" s="1" t="str">
        <f>IF(A137&lt;&gt;"",'ENC to Device Cables'!I216,"")</f>
        <v/>
      </c>
    </row>
    <row r="138" spans="1:4" x14ac:dyDescent="0.2">
      <c r="A138" t="str">
        <f>IF('ENC to Device Cables'!F217&lt;&gt;"",'ENC to Device Cables'!F217,"")</f>
        <v/>
      </c>
      <c r="B138" s="2" t="str">
        <f>IF(A138&lt;&gt;"",'ENC to Device Cables'!G217,"")</f>
        <v/>
      </c>
      <c r="C138" t="str">
        <f>IF(A138&lt;&gt;"",'ENC to Device Cables'!H217,"")</f>
        <v/>
      </c>
      <c r="D138" s="1" t="str">
        <f>IF(A138&lt;&gt;"",'ENC to Device Cables'!I217,"")</f>
        <v/>
      </c>
    </row>
    <row r="139" spans="1:4" x14ac:dyDescent="0.2">
      <c r="A139" t="str">
        <f>IF('ENC to Device Cables'!F218&lt;&gt;"",'ENC to Device Cables'!F218,"")</f>
        <v/>
      </c>
      <c r="B139" s="2" t="str">
        <f>IF(A139&lt;&gt;"",'ENC to Device Cables'!G218,"")</f>
        <v/>
      </c>
      <c r="C139" t="str">
        <f>IF(A139&lt;&gt;"",'ENC to Device Cables'!H218,"")</f>
        <v/>
      </c>
      <c r="D139" s="1" t="str">
        <f>IF(A139&lt;&gt;"",'ENC to Device Cables'!I218,"")</f>
        <v/>
      </c>
    </row>
    <row r="140" spans="1:4" x14ac:dyDescent="0.2">
      <c r="A140" t="str">
        <f>IF('ENC to Device Cables'!F219&lt;&gt;"",'ENC to Device Cables'!F219,"")</f>
        <v/>
      </c>
      <c r="B140" s="2" t="str">
        <f>IF(A140&lt;&gt;"",'ENC to Device Cables'!G219,"")</f>
        <v/>
      </c>
      <c r="C140" t="str">
        <f>IF(A140&lt;&gt;"",'ENC to Device Cables'!H219,"")</f>
        <v/>
      </c>
      <c r="D140" s="1" t="str">
        <f>IF(A140&lt;&gt;"",'ENC to Device Cables'!I219,"")</f>
        <v/>
      </c>
    </row>
    <row r="141" spans="1:4" x14ac:dyDescent="0.2">
      <c r="A141" t="str">
        <f>IF('ENC to Device Cables'!F220&lt;&gt;"",'ENC to Device Cables'!F220,"")</f>
        <v/>
      </c>
      <c r="B141" s="2" t="str">
        <f>IF(A141&lt;&gt;"",'ENC to Device Cables'!G220,"")</f>
        <v/>
      </c>
      <c r="C141" t="str">
        <f>IF(A141&lt;&gt;"",'ENC to Device Cables'!H220,"")</f>
        <v/>
      </c>
      <c r="D141" s="1" t="str">
        <f>IF(A141&lt;&gt;"",'ENC to Device Cables'!I220,"")</f>
        <v/>
      </c>
    </row>
    <row r="142" spans="1:4" x14ac:dyDescent="0.2">
      <c r="A142" t="str">
        <f>IF('ENC to Device Cables'!F221&lt;&gt;"",'ENC to Device Cables'!F221,"")</f>
        <v/>
      </c>
      <c r="B142" s="2" t="str">
        <f>IF(A142&lt;&gt;"",'ENC to Device Cables'!G221,"")</f>
        <v/>
      </c>
      <c r="C142" t="str">
        <f>IF(A142&lt;&gt;"",'ENC to Device Cables'!H221,"")</f>
        <v/>
      </c>
      <c r="D142" s="1" t="str">
        <f>IF(A142&lt;&gt;"",'ENC to Device Cables'!I221,"")</f>
        <v/>
      </c>
    </row>
    <row r="143" spans="1:4" x14ac:dyDescent="0.2">
      <c r="A143" t="str">
        <f>IF('ENC to Device Cables'!F222&lt;&gt;"",'ENC to Device Cables'!F222,"")</f>
        <v/>
      </c>
      <c r="B143" s="2" t="str">
        <f>IF(A143&lt;&gt;"",'ENC to Device Cables'!G222,"")</f>
        <v/>
      </c>
      <c r="C143" t="str">
        <f>IF(A143&lt;&gt;"",'ENC to Device Cables'!H222,"")</f>
        <v/>
      </c>
      <c r="D143" s="1" t="str">
        <f>IF(A143&lt;&gt;"",'ENC to Device Cables'!I222,"")</f>
        <v/>
      </c>
    </row>
    <row r="144" spans="1:4" x14ac:dyDescent="0.2">
      <c r="A144" t="str">
        <f>IF('ENC to Device Cables'!F223&lt;&gt;"",'ENC to Device Cables'!F223,"")</f>
        <v/>
      </c>
      <c r="B144" s="2" t="str">
        <f>IF(A144&lt;&gt;"",'ENC to Device Cables'!G223,"")</f>
        <v/>
      </c>
      <c r="C144" t="str">
        <f>IF(A144&lt;&gt;"",'ENC to Device Cables'!H223,"")</f>
        <v/>
      </c>
      <c r="D144" s="1" t="str">
        <f>IF(A144&lt;&gt;"",'ENC to Device Cables'!I223,"")</f>
        <v/>
      </c>
    </row>
    <row r="145" spans="1:4" x14ac:dyDescent="0.2">
      <c r="A145" t="str">
        <f>IF('ENC to Device Cables'!F224&lt;&gt;"",'ENC to Device Cables'!F224,"")</f>
        <v/>
      </c>
      <c r="B145" s="2" t="str">
        <f>IF(A145&lt;&gt;"",'ENC to Device Cables'!G224,"")</f>
        <v/>
      </c>
      <c r="C145" t="str">
        <f>IF(A145&lt;&gt;"",'ENC to Device Cables'!H224,"")</f>
        <v/>
      </c>
      <c r="D145" s="1" t="str">
        <f>IF(A145&lt;&gt;"",'ENC to Device Cables'!I224,"")</f>
        <v/>
      </c>
    </row>
    <row r="146" spans="1:4" x14ac:dyDescent="0.2">
      <c r="A146" t="str">
        <f>IF('ENC to Device Cables'!F225&lt;&gt;"",'ENC to Device Cables'!F225,"")</f>
        <v/>
      </c>
      <c r="B146" s="2" t="str">
        <f>IF(A146&lt;&gt;"",'ENC to Device Cables'!G225,"")</f>
        <v/>
      </c>
      <c r="C146" t="str">
        <f>IF(A146&lt;&gt;"",'ENC to Device Cables'!H225,"")</f>
        <v/>
      </c>
      <c r="D146" s="1" t="str">
        <f>IF(A146&lt;&gt;"",'ENC to Device Cables'!I225,"")</f>
        <v/>
      </c>
    </row>
    <row r="147" spans="1:4" x14ac:dyDescent="0.2">
      <c r="A147" t="str">
        <f>IF('ENC to Device Cables'!F226&lt;&gt;"",'ENC to Device Cables'!F226,"")</f>
        <v/>
      </c>
      <c r="B147" s="2" t="str">
        <f>IF(A147&lt;&gt;"",'ENC to Device Cables'!G226,"")</f>
        <v/>
      </c>
      <c r="C147" t="str">
        <f>IF(A147&lt;&gt;"",'ENC to Device Cables'!H226,"")</f>
        <v/>
      </c>
      <c r="D147" s="1" t="str">
        <f>IF(A147&lt;&gt;"",'ENC to Device Cables'!I226,"")</f>
        <v/>
      </c>
    </row>
    <row r="148" spans="1:4" x14ac:dyDescent="0.2">
      <c r="A148" t="str">
        <f>IF('ENC to Device Cables'!F227&lt;&gt;"",'ENC to Device Cables'!F227,"")</f>
        <v/>
      </c>
      <c r="B148" s="2" t="str">
        <f>IF(A148&lt;&gt;"",'ENC to Device Cables'!G227,"")</f>
        <v/>
      </c>
      <c r="C148" t="str">
        <f>IF(A148&lt;&gt;"",'ENC to Device Cables'!H227,"")</f>
        <v/>
      </c>
      <c r="D148" s="1" t="str">
        <f>IF(A148&lt;&gt;"",'ENC to Device Cables'!I227,"")</f>
        <v/>
      </c>
    </row>
    <row r="149" spans="1:4" x14ac:dyDescent="0.2">
      <c r="A149" t="str">
        <f>IF('ENC to Device Cables'!F228&lt;&gt;"",'ENC to Device Cables'!F228,"")</f>
        <v/>
      </c>
      <c r="B149" s="2" t="str">
        <f>IF(A149&lt;&gt;"",'ENC to Device Cables'!G228,"")</f>
        <v/>
      </c>
      <c r="C149" t="str">
        <f>IF(A149&lt;&gt;"",'ENC to Device Cables'!H228,"")</f>
        <v/>
      </c>
      <c r="D149" s="1" t="str">
        <f>IF(A149&lt;&gt;"",'ENC to Device Cables'!I228,"")</f>
        <v/>
      </c>
    </row>
    <row r="150" spans="1:4" x14ac:dyDescent="0.2">
      <c r="A150" t="str">
        <f>IF('ENC to Device Cables'!F229&lt;&gt;"",'ENC to Device Cables'!F229,"")</f>
        <v/>
      </c>
      <c r="B150" s="2" t="str">
        <f>IF(A150&lt;&gt;"",'ENC to Device Cables'!G229,"")</f>
        <v/>
      </c>
      <c r="C150" t="str">
        <f>IF(A150&lt;&gt;"",'ENC to Device Cables'!H229,"")</f>
        <v/>
      </c>
      <c r="D150" s="1" t="str">
        <f>IF(A150&lt;&gt;"",'ENC to Device Cables'!I229,"")</f>
        <v/>
      </c>
    </row>
    <row r="151" spans="1:4" x14ac:dyDescent="0.2">
      <c r="A151" t="str">
        <f>IF('ENC to Device Cables'!F230&lt;&gt;"",'ENC to Device Cables'!F230,"")</f>
        <v/>
      </c>
      <c r="B151" s="2" t="str">
        <f>IF(A151&lt;&gt;"",'ENC to Device Cables'!G230,"")</f>
        <v/>
      </c>
      <c r="C151" t="str">
        <f>IF(A151&lt;&gt;"",'ENC to Device Cables'!H230,"")</f>
        <v/>
      </c>
      <c r="D151" s="1" t="str">
        <f>IF(A151&lt;&gt;"",'ENC to Device Cables'!I230,"")</f>
        <v/>
      </c>
    </row>
    <row r="152" spans="1:4" x14ac:dyDescent="0.2">
      <c r="A152" t="str">
        <f>IF('ENC to Device Cables'!F231&lt;&gt;"",'ENC to Device Cables'!F231,"")</f>
        <v/>
      </c>
      <c r="B152" s="2" t="str">
        <f>IF(A152&lt;&gt;"",'ENC to Device Cables'!G231,"")</f>
        <v/>
      </c>
      <c r="C152" t="str">
        <f>IF(A152&lt;&gt;"",'ENC to Device Cables'!H231,"")</f>
        <v/>
      </c>
      <c r="D152" s="1" t="str">
        <f>IF(A152&lt;&gt;"",'ENC to Device Cables'!I231,"")</f>
        <v/>
      </c>
    </row>
    <row r="153" spans="1:4" x14ac:dyDescent="0.2">
      <c r="A153" t="str">
        <f>IF('ENC to Device Cables'!F232&lt;&gt;"",'ENC to Device Cables'!F232,"")</f>
        <v/>
      </c>
      <c r="B153" s="2" t="str">
        <f>IF(A153&lt;&gt;"",'ENC to Device Cables'!G232,"")</f>
        <v/>
      </c>
      <c r="C153" t="str">
        <f>IF(A153&lt;&gt;"",'ENC to Device Cables'!H232,"")</f>
        <v/>
      </c>
      <c r="D153" s="1" t="str">
        <f>IF(A153&lt;&gt;"",'ENC to Device Cables'!I232,"")</f>
        <v/>
      </c>
    </row>
    <row r="154" spans="1:4" x14ac:dyDescent="0.2">
      <c r="A154" t="str">
        <f>IF('ENC to Device Cables'!F233&lt;&gt;"",'ENC to Device Cables'!F233,"")</f>
        <v/>
      </c>
      <c r="B154" s="2" t="str">
        <f>IF(A154&lt;&gt;"",'ENC to Device Cables'!G233,"")</f>
        <v/>
      </c>
      <c r="C154" t="str">
        <f>IF(A154&lt;&gt;"",'ENC to Device Cables'!H233,"")</f>
        <v/>
      </c>
      <c r="D154" s="1" t="str">
        <f>IF(A154&lt;&gt;"",'ENC to Device Cables'!I233,"")</f>
        <v/>
      </c>
    </row>
    <row r="155" spans="1:4" x14ac:dyDescent="0.2">
      <c r="A155" t="str">
        <f>IF('ENC to Device Cables'!F234&lt;&gt;"",'ENC to Device Cables'!F234,"")</f>
        <v/>
      </c>
      <c r="B155" s="2" t="str">
        <f>IF(A155&lt;&gt;"",'ENC to Device Cables'!G234,"")</f>
        <v/>
      </c>
      <c r="C155" t="str">
        <f>IF(A155&lt;&gt;"",'ENC to Device Cables'!H234,"")</f>
        <v/>
      </c>
      <c r="D155" s="1" t="str">
        <f>IF(A155&lt;&gt;"",'ENC to Device Cables'!I234,"")</f>
        <v/>
      </c>
    </row>
    <row r="156" spans="1:4" x14ac:dyDescent="0.2">
      <c r="A156" t="str">
        <f>IF('ENC to Device Cables'!F235&lt;&gt;"",'ENC to Device Cables'!F235,"")</f>
        <v/>
      </c>
      <c r="B156" s="2" t="str">
        <f>IF(A156&lt;&gt;"",'ENC to Device Cables'!G235,"")</f>
        <v/>
      </c>
      <c r="C156" t="str">
        <f>IF(A156&lt;&gt;"",'ENC to Device Cables'!H235,"")</f>
        <v/>
      </c>
      <c r="D156" s="1" t="str">
        <f>IF(A156&lt;&gt;"",'ENC to Device Cables'!I235,"")</f>
        <v/>
      </c>
    </row>
    <row r="157" spans="1:4" x14ac:dyDescent="0.2">
      <c r="A157" t="str">
        <f>IF('ENC to Device Cables'!F236&lt;&gt;"",'ENC to Device Cables'!F236,"")</f>
        <v/>
      </c>
      <c r="B157" s="2" t="str">
        <f>IF(A157&lt;&gt;"",'ENC to Device Cables'!G236,"")</f>
        <v/>
      </c>
      <c r="C157" t="str">
        <f>IF(A157&lt;&gt;"",'ENC to Device Cables'!H236,"")</f>
        <v/>
      </c>
      <c r="D157" s="1" t="str">
        <f>IF(A157&lt;&gt;"",'ENC to Device Cables'!I236,"")</f>
        <v/>
      </c>
    </row>
    <row r="158" spans="1:4" x14ac:dyDescent="0.2">
      <c r="A158" t="str">
        <f>IF('ENC to Device Cables'!F237&lt;&gt;"",'ENC to Device Cables'!F237,"")</f>
        <v/>
      </c>
      <c r="B158" s="2" t="str">
        <f>IF(A158&lt;&gt;"",'ENC to Device Cables'!G237,"")</f>
        <v/>
      </c>
      <c r="C158" t="str">
        <f>IF(A158&lt;&gt;"",'ENC to Device Cables'!H237,"")</f>
        <v/>
      </c>
      <c r="D158" s="1" t="str">
        <f>IF(A158&lt;&gt;"",'ENC to Device Cables'!I237,"")</f>
        <v/>
      </c>
    </row>
    <row r="159" spans="1:4" x14ac:dyDescent="0.2">
      <c r="A159" t="str">
        <f>IF('ENC to Device Cables'!F238&lt;&gt;"",'ENC to Device Cables'!F238,"")</f>
        <v/>
      </c>
      <c r="B159" s="2" t="str">
        <f>IF(A159&lt;&gt;"",'ENC to Device Cables'!G238,"")</f>
        <v/>
      </c>
      <c r="C159" t="str">
        <f>IF(A159&lt;&gt;"",'ENC to Device Cables'!H238,"")</f>
        <v/>
      </c>
      <c r="D159" s="1" t="str">
        <f>IF(A159&lt;&gt;"",'ENC to Device Cables'!I238,"")</f>
        <v/>
      </c>
    </row>
    <row r="160" spans="1:4" x14ac:dyDescent="0.2">
      <c r="A160" t="str">
        <f>IF('ENC to Device Cables'!F239&lt;&gt;"",'ENC to Device Cables'!F239,"")</f>
        <v/>
      </c>
      <c r="B160" s="2" t="str">
        <f>IF(A160&lt;&gt;"",'ENC to Device Cables'!G239,"")</f>
        <v/>
      </c>
      <c r="C160" t="str">
        <f>IF(A160&lt;&gt;"",'ENC to Device Cables'!H239,"")</f>
        <v/>
      </c>
      <c r="D160" s="1" t="str">
        <f>IF(A160&lt;&gt;"",'ENC to Device Cables'!I239,"")</f>
        <v/>
      </c>
    </row>
    <row r="161" spans="1:4" x14ac:dyDescent="0.2">
      <c r="A161" t="str">
        <f>IF('ENC to Device Cables'!F240&lt;&gt;"",'ENC to Device Cables'!F240,"")</f>
        <v/>
      </c>
      <c r="B161" s="2" t="str">
        <f>IF(A161&lt;&gt;"",'ENC to Device Cables'!G240,"")</f>
        <v/>
      </c>
      <c r="C161" t="str">
        <f>IF(A161&lt;&gt;"",'ENC to Device Cables'!H240,"")</f>
        <v/>
      </c>
      <c r="D161" s="1" t="str">
        <f>IF(A161&lt;&gt;"",'ENC to Device Cables'!I240,"")</f>
        <v/>
      </c>
    </row>
    <row r="162" spans="1:4" x14ac:dyDescent="0.2">
      <c r="A162" t="str">
        <f>IF('ENC to Device Cables'!F241&lt;&gt;"",'ENC to Device Cables'!F241,"")</f>
        <v/>
      </c>
      <c r="B162" s="2" t="str">
        <f>IF(A162&lt;&gt;"",'ENC to Device Cables'!G241,"")</f>
        <v/>
      </c>
      <c r="C162" t="str">
        <f>IF(A162&lt;&gt;"",'ENC to Device Cables'!H241,"")</f>
        <v/>
      </c>
      <c r="D162" s="1" t="str">
        <f>IF(A162&lt;&gt;"",'ENC to Device Cables'!I241,"")</f>
        <v/>
      </c>
    </row>
    <row r="163" spans="1:4" x14ac:dyDescent="0.2">
      <c r="A163" t="str">
        <f>IF('ENC to Device Cables'!F242&lt;&gt;"",'ENC to Device Cables'!F242,"")</f>
        <v/>
      </c>
      <c r="B163" s="2" t="str">
        <f>IF(A163&lt;&gt;"",'ENC to Device Cables'!G242,"")</f>
        <v/>
      </c>
      <c r="C163" t="str">
        <f>IF(A163&lt;&gt;"",'ENC to Device Cables'!H242,"")</f>
        <v/>
      </c>
      <c r="D163" s="1" t="str">
        <f>IF(A163&lt;&gt;"",'ENC to Device Cables'!I242,"")</f>
        <v/>
      </c>
    </row>
    <row r="164" spans="1:4" x14ac:dyDescent="0.2">
      <c r="A164" t="str">
        <f>IF('ENC to Device Cables'!F243&lt;&gt;"",'ENC to Device Cables'!F243,"")</f>
        <v/>
      </c>
      <c r="B164" s="2" t="str">
        <f>IF(A164&lt;&gt;"",'ENC to Device Cables'!G243,"")</f>
        <v/>
      </c>
      <c r="C164" t="str">
        <f>IF(A164&lt;&gt;"",'ENC to Device Cables'!H243,"")</f>
        <v/>
      </c>
      <c r="D164" s="1" t="str">
        <f>IF(A164&lt;&gt;"",'ENC to Device Cables'!I243,"")</f>
        <v/>
      </c>
    </row>
    <row r="165" spans="1:4" x14ac:dyDescent="0.2">
      <c r="A165" t="str">
        <f>IF('ENC to Device Cables'!F244&lt;&gt;"",'ENC to Device Cables'!F244,"")</f>
        <v/>
      </c>
      <c r="B165" s="2" t="str">
        <f>IF(A165&lt;&gt;"",'ENC to Device Cables'!G244,"")</f>
        <v/>
      </c>
      <c r="C165" t="str">
        <f>IF(A165&lt;&gt;"",'ENC to Device Cables'!H244,"")</f>
        <v/>
      </c>
      <c r="D165" s="1" t="str">
        <f>IF(A165&lt;&gt;"",'ENC to Device Cables'!I244,"")</f>
        <v/>
      </c>
    </row>
    <row r="166" spans="1:4" x14ac:dyDescent="0.2">
      <c r="A166" t="str">
        <f>IF('ENC to Device Cables'!F245&lt;&gt;"",'ENC to Device Cables'!F245,"")</f>
        <v/>
      </c>
      <c r="B166" s="2" t="str">
        <f>IF(A166&lt;&gt;"",'ENC to Device Cables'!G245,"")</f>
        <v/>
      </c>
      <c r="C166" t="str">
        <f>IF(A166&lt;&gt;"",'ENC to Device Cables'!H245,"")</f>
        <v/>
      </c>
      <c r="D166" s="1" t="str">
        <f>IF(A166&lt;&gt;"",'ENC to Device Cables'!I245,"")</f>
        <v/>
      </c>
    </row>
    <row r="167" spans="1:4" x14ac:dyDescent="0.2">
      <c r="A167" t="str">
        <f>IF('ENC to Device Cables'!F246&lt;&gt;"",'ENC to Device Cables'!F246,"")</f>
        <v/>
      </c>
      <c r="B167" s="2" t="str">
        <f>IF(A167&lt;&gt;"",'ENC to Device Cables'!G246,"")</f>
        <v/>
      </c>
      <c r="C167" t="str">
        <f>IF(A167&lt;&gt;"",'ENC to Device Cables'!H246,"")</f>
        <v/>
      </c>
      <c r="D167" s="1" t="str">
        <f>IF(A167&lt;&gt;"",'ENC to Device Cables'!I246,"")</f>
        <v/>
      </c>
    </row>
    <row r="168" spans="1:4" x14ac:dyDescent="0.2">
      <c r="A168" t="str">
        <f>IF('ENC to Device Cables'!F247&lt;&gt;"",'ENC to Device Cables'!F247,"")</f>
        <v/>
      </c>
      <c r="B168" s="2" t="str">
        <f>IF(A168&lt;&gt;"",'ENC to Device Cables'!G247,"")</f>
        <v/>
      </c>
      <c r="C168" t="str">
        <f>IF(A168&lt;&gt;"",'ENC to Device Cables'!H247,"")</f>
        <v/>
      </c>
      <c r="D168" s="1" t="str">
        <f>IF(A168&lt;&gt;"",'ENC to Device Cables'!I247,"")</f>
        <v/>
      </c>
    </row>
    <row r="169" spans="1:4" x14ac:dyDescent="0.2">
      <c r="A169" t="str">
        <f>IF('ENC to Device Cables'!F248&lt;&gt;"",'ENC to Device Cables'!F248,"")</f>
        <v/>
      </c>
      <c r="B169" s="2" t="str">
        <f>IF(A169&lt;&gt;"",'ENC to Device Cables'!G248,"")</f>
        <v/>
      </c>
      <c r="C169" t="str">
        <f>IF(A169&lt;&gt;"",'ENC to Device Cables'!H248,"")</f>
        <v/>
      </c>
      <c r="D169" s="1" t="str">
        <f>IF(A169&lt;&gt;"",'ENC to Device Cables'!I248,"")</f>
        <v/>
      </c>
    </row>
    <row r="170" spans="1:4" x14ac:dyDescent="0.2">
      <c r="A170" t="str">
        <f>IF('ENC to Device Cables'!F249&lt;&gt;"",'ENC to Device Cables'!F249,"")</f>
        <v/>
      </c>
      <c r="B170" s="2" t="str">
        <f>IF(A170&lt;&gt;"",'ENC to Device Cables'!G249,"")</f>
        <v/>
      </c>
      <c r="C170" t="str">
        <f>IF(A170&lt;&gt;"",'ENC to Device Cables'!H249,"")</f>
        <v/>
      </c>
      <c r="D170" s="1" t="str">
        <f>IF(A170&lt;&gt;"",'ENC to Device Cables'!I249,"")</f>
        <v/>
      </c>
    </row>
    <row r="171" spans="1:4" x14ac:dyDescent="0.2">
      <c r="A171" t="str">
        <f>IF('ENC to Device Cables'!F250&lt;&gt;"",'ENC to Device Cables'!F250,"")</f>
        <v/>
      </c>
      <c r="B171" s="2" t="str">
        <f>IF(A171&lt;&gt;"",'ENC to Device Cables'!G250,"")</f>
        <v/>
      </c>
      <c r="C171" t="str">
        <f>IF(A171&lt;&gt;"",'ENC to Device Cables'!H250,"")</f>
        <v/>
      </c>
      <c r="D171" s="1" t="str">
        <f>IF(A171&lt;&gt;"",'ENC to Device Cables'!I250,"")</f>
        <v/>
      </c>
    </row>
    <row r="172" spans="1:4" x14ac:dyDescent="0.2">
      <c r="A172" t="str">
        <f>IF('ENC to Device Cables'!F251&lt;&gt;"",'ENC to Device Cables'!F251,"")</f>
        <v/>
      </c>
      <c r="B172" s="2" t="str">
        <f>IF(A172&lt;&gt;"",'ENC to Device Cables'!G251,"")</f>
        <v/>
      </c>
      <c r="C172" t="str">
        <f>IF(A172&lt;&gt;"",'ENC to Device Cables'!H251,"")</f>
        <v/>
      </c>
      <c r="D172" s="1" t="str">
        <f>IF(A172&lt;&gt;"",'ENC to Device Cables'!I251,"")</f>
        <v/>
      </c>
    </row>
    <row r="173" spans="1:4" x14ac:dyDescent="0.2">
      <c r="A173" t="str">
        <f>IF('ENC to Device Cables'!F252&lt;&gt;"",'ENC to Device Cables'!F252,"")</f>
        <v/>
      </c>
      <c r="B173" s="2" t="str">
        <f>IF(A173&lt;&gt;"",'ENC to Device Cables'!G252,"")</f>
        <v/>
      </c>
      <c r="C173" t="str">
        <f>IF(A173&lt;&gt;"",'ENC to Device Cables'!H252,"")</f>
        <v/>
      </c>
      <c r="D173" s="1" t="str">
        <f>IF(A173&lt;&gt;"",'ENC to Device Cables'!I252,"")</f>
        <v/>
      </c>
    </row>
    <row r="174" spans="1:4" x14ac:dyDescent="0.2">
      <c r="A174" t="str">
        <f>IF('ENC to Device Cables'!F253&lt;&gt;"",'ENC to Device Cables'!F253,"")</f>
        <v/>
      </c>
      <c r="B174" s="2" t="str">
        <f>IF(A174&lt;&gt;"",'ENC to Device Cables'!G253,"")</f>
        <v/>
      </c>
      <c r="C174" t="str">
        <f>IF(A174&lt;&gt;"",'ENC to Device Cables'!H253,"")</f>
        <v/>
      </c>
      <c r="D174" s="1" t="str">
        <f>IF(A174&lt;&gt;"",'ENC to Device Cables'!I253,"")</f>
        <v/>
      </c>
    </row>
    <row r="175" spans="1:4" x14ac:dyDescent="0.2">
      <c r="A175" t="str">
        <f>IF('ENC to Device Cables'!F254&lt;&gt;"",'ENC to Device Cables'!F254,"")</f>
        <v/>
      </c>
      <c r="B175" s="2" t="str">
        <f>IF(A175&lt;&gt;"",'ENC to Device Cables'!G254,"")</f>
        <v/>
      </c>
      <c r="C175" t="str">
        <f>IF(A175&lt;&gt;"",'ENC to Device Cables'!H254,"")</f>
        <v/>
      </c>
      <c r="D175" s="1" t="str">
        <f>IF(A175&lt;&gt;"",'ENC to Device Cables'!I254,"")</f>
        <v/>
      </c>
    </row>
    <row r="176" spans="1:4" x14ac:dyDescent="0.2">
      <c r="A176" t="str">
        <f>IF('ENC to Device Cables'!F255&lt;&gt;"",'ENC to Device Cables'!F255,"")</f>
        <v/>
      </c>
      <c r="B176" s="2" t="str">
        <f>IF(A176&lt;&gt;"",'ENC to Device Cables'!G255,"")</f>
        <v/>
      </c>
      <c r="C176" t="str">
        <f>IF(A176&lt;&gt;"",'ENC to Device Cables'!H255,"")</f>
        <v/>
      </c>
      <c r="D176" s="1" t="str">
        <f>IF(A176&lt;&gt;"",'ENC to Device Cables'!I255,"")</f>
        <v/>
      </c>
    </row>
    <row r="177" spans="1:4" x14ac:dyDescent="0.2">
      <c r="A177" t="str">
        <f>IF('ENC to Device Cables'!F256&lt;&gt;"",'ENC to Device Cables'!F256,"")</f>
        <v/>
      </c>
      <c r="B177" s="2" t="str">
        <f>IF(A177&lt;&gt;"",'ENC to Device Cables'!G256,"")</f>
        <v/>
      </c>
      <c r="C177" t="str">
        <f>IF(A177&lt;&gt;"",'ENC to Device Cables'!H256,"")</f>
        <v/>
      </c>
      <c r="D177" s="1" t="str">
        <f>IF(A177&lt;&gt;"",'ENC to Device Cables'!I256,"")</f>
        <v/>
      </c>
    </row>
    <row r="178" spans="1:4" x14ac:dyDescent="0.2">
      <c r="A178" t="str">
        <f>IF('ENC to Device Cables'!F257&lt;&gt;"",'ENC to Device Cables'!F257,"")</f>
        <v/>
      </c>
      <c r="B178" s="2" t="str">
        <f>IF(A178&lt;&gt;"",'ENC to Device Cables'!G257,"")</f>
        <v/>
      </c>
      <c r="C178" t="str">
        <f>IF(A178&lt;&gt;"",'ENC to Device Cables'!H257,"")</f>
        <v/>
      </c>
      <c r="D178" s="1" t="str">
        <f>IF(A178&lt;&gt;"",'ENC to Device Cables'!I257,"")</f>
        <v/>
      </c>
    </row>
    <row r="179" spans="1:4" x14ac:dyDescent="0.2">
      <c r="A179" t="str">
        <f>IF('ENC to Device Cables'!F258&lt;&gt;"",'ENC to Device Cables'!F258,"")</f>
        <v/>
      </c>
      <c r="B179" s="2" t="str">
        <f>IF(A179&lt;&gt;"",'ENC to Device Cables'!G258,"")</f>
        <v/>
      </c>
      <c r="C179" t="str">
        <f>IF(A179&lt;&gt;"",'ENC to Device Cables'!H258,"")</f>
        <v/>
      </c>
      <c r="D179" s="1" t="str">
        <f>IF(A179&lt;&gt;"",'ENC to Device Cables'!I258,"")</f>
        <v/>
      </c>
    </row>
    <row r="180" spans="1:4" x14ac:dyDescent="0.2">
      <c r="A180" t="str">
        <f>IF('ENC to Device Cables'!F259&lt;&gt;"",'ENC to Device Cables'!F259,"")</f>
        <v/>
      </c>
      <c r="B180" s="2" t="str">
        <f>IF(A180&lt;&gt;"",'ENC to Device Cables'!G259,"")</f>
        <v/>
      </c>
      <c r="C180" t="str">
        <f>IF(A180&lt;&gt;"",'ENC to Device Cables'!H259,"")</f>
        <v/>
      </c>
      <c r="D180" s="1" t="str">
        <f>IF(A180&lt;&gt;"",'ENC to Device Cables'!I259,"")</f>
        <v/>
      </c>
    </row>
    <row r="181" spans="1:4" x14ac:dyDescent="0.2">
      <c r="A181" t="str">
        <f>IF('ENC to Device Cables'!F260&lt;&gt;"",'ENC to Device Cables'!F260,"")</f>
        <v/>
      </c>
      <c r="B181" s="2" t="str">
        <f>IF(A181&lt;&gt;"",'ENC to Device Cables'!G260,"")</f>
        <v/>
      </c>
      <c r="C181" t="str">
        <f>IF(A181&lt;&gt;"",'ENC to Device Cables'!H260,"")</f>
        <v/>
      </c>
      <c r="D181" s="1" t="str">
        <f>IF(A181&lt;&gt;"",'ENC to Device Cables'!I260,"")</f>
        <v/>
      </c>
    </row>
    <row r="182" spans="1:4" x14ac:dyDescent="0.2">
      <c r="A182" t="str">
        <f>IF('ENC to Device Cables'!F261&lt;&gt;"",'ENC to Device Cables'!F261,"")</f>
        <v/>
      </c>
      <c r="B182" s="2" t="str">
        <f>IF(A182&lt;&gt;"",'ENC to Device Cables'!G261,"")</f>
        <v/>
      </c>
      <c r="C182" t="str">
        <f>IF(A182&lt;&gt;"",'ENC to Device Cables'!H261,"")</f>
        <v/>
      </c>
      <c r="D182" s="1" t="str">
        <f>IF(A182&lt;&gt;"",'ENC to Device Cables'!I261,"")</f>
        <v/>
      </c>
    </row>
    <row r="183" spans="1:4" x14ac:dyDescent="0.2">
      <c r="A183" t="str">
        <f>IF('ENC to Device Cables'!F262&lt;&gt;"",'ENC to Device Cables'!F262,"")</f>
        <v/>
      </c>
      <c r="B183" s="2" t="str">
        <f>IF(A183&lt;&gt;"",'ENC to Device Cables'!G262,"")</f>
        <v/>
      </c>
      <c r="C183" t="str">
        <f>IF(A183&lt;&gt;"",'ENC to Device Cables'!H262,"")</f>
        <v/>
      </c>
      <c r="D183" s="1" t="str">
        <f>IF(A183&lt;&gt;"",'ENC to Device Cables'!I262,"")</f>
        <v/>
      </c>
    </row>
    <row r="184" spans="1:4" x14ac:dyDescent="0.2">
      <c r="A184" t="str">
        <f>IF('ENC to Device Cables'!F263&lt;&gt;"",'ENC to Device Cables'!F263,"")</f>
        <v/>
      </c>
      <c r="B184" s="2" t="str">
        <f>IF(A184&lt;&gt;"",'ENC to Device Cables'!G263,"")</f>
        <v/>
      </c>
      <c r="C184" t="str">
        <f>IF(A184&lt;&gt;"",'ENC to Device Cables'!H263,"")</f>
        <v/>
      </c>
      <c r="D184" s="1" t="str">
        <f>IF(A184&lt;&gt;"",'ENC to Device Cables'!I263,"")</f>
        <v/>
      </c>
    </row>
    <row r="185" spans="1:4" x14ac:dyDescent="0.2">
      <c r="A185" t="str">
        <f>IF('ENC to Device Cables'!F264&lt;&gt;"",'ENC to Device Cables'!F264,"")</f>
        <v/>
      </c>
      <c r="B185" s="2" t="str">
        <f>IF(A185&lt;&gt;"",'ENC to Device Cables'!G264,"")</f>
        <v/>
      </c>
      <c r="C185" t="str">
        <f>IF(A185&lt;&gt;"",'ENC to Device Cables'!H264,"")</f>
        <v/>
      </c>
      <c r="D185" s="1" t="str">
        <f>IF(A185&lt;&gt;"",'ENC to Device Cables'!I264,"")</f>
        <v/>
      </c>
    </row>
    <row r="186" spans="1:4" x14ac:dyDescent="0.2">
      <c r="A186" t="str">
        <f>IF('ENC to Device Cables'!F265&lt;&gt;"",'ENC to Device Cables'!F265,"")</f>
        <v/>
      </c>
      <c r="B186" s="2" t="str">
        <f>IF(A186&lt;&gt;"",'ENC to Device Cables'!G265,"")</f>
        <v/>
      </c>
      <c r="C186" t="str">
        <f>IF(A186&lt;&gt;"",'ENC to Device Cables'!H265,"")</f>
        <v/>
      </c>
      <c r="D186" s="1" t="str">
        <f>IF(A186&lt;&gt;"",'ENC to Device Cables'!I265,"")</f>
        <v/>
      </c>
    </row>
    <row r="187" spans="1:4" x14ac:dyDescent="0.2">
      <c r="A187" t="str">
        <f>IF('ENC to Device Cables'!F266&lt;&gt;"",'ENC to Device Cables'!F266,"")</f>
        <v/>
      </c>
      <c r="B187" s="2" t="str">
        <f>IF(A187&lt;&gt;"",'ENC to Device Cables'!G266,"")</f>
        <v/>
      </c>
      <c r="C187" t="str">
        <f>IF(A187&lt;&gt;"",'ENC to Device Cables'!H266,"")</f>
        <v/>
      </c>
      <c r="D187" s="1" t="str">
        <f>IF(A187&lt;&gt;"",'ENC to Device Cables'!I266,"")</f>
        <v/>
      </c>
    </row>
    <row r="188" spans="1:4" x14ac:dyDescent="0.2">
      <c r="A188" t="str">
        <f>IF('ENC to Device Cables'!F267&lt;&gt;"",'ENC to Device Cables'!F267,"")</f>
        <v/>
      </c>
      <c r="B188" s="2" t="str">
        <f>IF(A188&lt;&gt;"",'ENC to Device Cables'!G267,"")</f>
        <v/>
      </c>
      <c r="C188" t="str">
        <f>IF(A188&lt;&gt;"",'ENC to Device Cables'!H267,"")</f>
        <v/>
      </c>
      <c r="D188" s="1" t="str">
        <f>IF(A188&lt;&gt;"",'ENC to Device Cables'!I267,"")</f>
        <v/>
      </c>
    </row>
    <row r="189" spans="1:4" x14ac:dyDescent="0.2">
      <c r="A189" t="str">
        <f>IF('ENC to Device Cables'!F268&lt;&gt;"",'ENC to Device Cables'!F268,"")</f>
        <v/>
      </c>
      <c r="B189" s="2" t="str">
        <f>IF(A189&lt;&gt;"",'ENC to Device Cables'!G268,"")</f>
        <v/>
      </c>
      <c r="C189" t="str">
        <f>IF(A189&lt;&gt;"",'ENC to Device Cables'!H268,"")</f>
        <v/>
      </c>
      <c r="D189" s="1" t="str">
        <f>IF(A189&lt;&gt;"",'ENC to Device Cables'!I268,"")</f>
        <v/>
      </c>
    </row>
    <row r="190" spans="1:4" x14ac:dyDescent="0.2">
      <c r="A190" t="str">
        <f>IF('ENC to Device Cables'!F269&lt;&gt;"",'ENC to Device Cables'!F269,"")</f>
        <v/>
      </c>
      <c r="B190" s="2" t="str">
        <f>IF(A190&lt;&gt;"",'ENC to Device Cables'!G269,"")</f>
        <v/>
      </c>
      <c r="C190" t="str">
        <f>IF(A190&lt;&gt;"",'ENC to Device Cables'!H269,"")</f>
        <v/>
      </c>
      <c r="D190" s="1" t="str">
        <f>IF(A190&lt;&gt;"",'ENC to Device Cables'!I269,"")</f>
        <v/>
      </c>
    </row>
    <row r="191" spans="1:4" x14ac:dyDescent="0.2">
      <c r="A191" t="str">
        <f>IF('ENC to Device Cables'!F270&lt;&gt;"",'ENC to Device Cables'!F270,"")</f>
        <v/>
      </c>
      <c r="B191" s="2" t="str">
        <f>IF(A191&lt;&gt;"",'ENC to Device Cables'!G270,"")</f>
        <v/>
      </c>
      <c r="C191" t="str">
        <f>IF(A191&lt;&gt;"",'ENC to Device Cables'!H270,"")</f>
        <v/>
      </c>
      <c r="D191" s="1" t="str">
        <f>IF(A191&lt;&gt;"",'ENC to Device Cables'!I270,"")</f>
        <v/>
      </c>
    </row>
    <row r="192" spans="1:4" x14ac:dyDescent="0.2">
      <c r="A192" t="str">
        <f>IF('ENC to Device Cables'!F271&lt;&gt;"",'ENC to Device Cables'!F271,"")</f>
        <v/>
      </c>
      <c r="B192" s="2" t="str">
        <f>IF(A192&lt;&gt;"",'ENC to Device Cables'!G271,"")</f>
        <v/>
      </c>
      <c r="C192" t="str">
        <f>IF(A192&lt;&gt;"",'ENC to Device Cables'!H271,"")</f>
        <v/>
      </c>
      <c r="D192" s="1" t="str">
        <f>IF(A192&lt;&gt;"",'ENC to Device Cables'!I271,"")</f>
        <v/>
      </c>
    </row>
    <row r="193" spans="1:4" x14ac:dyDescent="0.2">
      <c r="A193" t="str">
        <f>IF('ENC to Device Cables'!F272&lt;&gt;"",'ENC to Device Cables'!F272,"")</f>
        <v/>
      </c>
      <c r="B193" s="2" t="str">
        <f>IF(A193&lt;&gt;"",'ENC to Device Cables'!G272,"")</f>
        <v/>
      </c>
      <c r="C193" t="str">
        <f>IF(A193&lt;&gt;"",'ENC to Device Cables'!H272,"")</f>
        <v/>
      </c>
      <c r="D193" s="1" t="str">
        <f>IF(A193&lt;&gt;"",'ENC to Device Cables'!I272,"")</f>
        <v/>
      </c>
    </row>
    <row r="194" spans="1:4" x14ac:dyDescent="0.2">
      <c r="A194" t="str">
        <f>IF('ENC to Device Cables'!F273&lt;&gt;"",'ENC to Device Cables'!F273,"")</f>
        <v/>
      </c>
      <c r="B194" s="2" t="str">
        <f>IF(A194&lt;&gt;"",'ENC to Device Cables'!G273,"")</f>
        <v/>
      </c>
      <c r="C194" t="str">
        <f>IF(A194&lt;&gt;"",'ENC to Device Cables'!H273,"")</f>
        <v/>
      </c>
      <c r="D194" s="1" t="str">
        <f>IF(A194&lt;&gt;"",'ENC to Device Cables'!I273,"")</f>
        <v/>
      </c>
    </row>
    <row r="195" spans="1:4" x14ac:dyDescent="0.2">
      <c r="A195" t="str">
        <f>IF('ENC to Device Cables'!F274&lt;&gt;"",'ENC to Device Cables'!F274,"")</f>
        <v/>
      </c>
      <c r="B195" s="2" t="str">
        <f>IF(A195&lt;&gt;"",'ENC to Device Cables'!G274,"")</f>
        <v/>
      </c>
      <c r="C195" t="str">
        <f>IF(A195&lt;&gt;"",'ENC to Device Cables'!H274,"")</f>
        <v/>
      </c>
      <c r="D195" s="1" t="str">
        <f>IF(A195&lt;&gt;"",'ENC to Device Cables'!I274,"")</f>
        <v/>
      </c>
    </row>
    <row r="196" spans="1:4" x14ac:dyDescent="0.2">
      <c r="A196" t="str">
        <f>IF('ENC to Device Cables'!F275&lt;&gt;"",'ENC to Device Cables'!F275,"")</f>
        <v/>
      </c>
      <c r="B196" s="2" t="str">
        <f>IF(A196&lt;&gt;"",'ENC to Device Cables'!G275,"")</f>
        <v/>
      </c>
      <c r="C196" t="str">
        <f>IF(A196&lt;&gt;"",'ENC to Device Cables'!H275,"")</f>
        <v/>
      </c>
      <c r="D196" s="1" t="str">
        <f>IF(A196&lt;&gt;"",'ENC to Device Cables'!I275,"")</f>
        <v/>
      </c>
    </row>
    <row r="197" spans="1:4" x14ac:dyDescent="0.2">
      <c r="A197" t="str">
        <f>IF('ENC to Device Cables'!F276&lt;&gt;"",'ENC to Device Cables'!F276,"")</f>
        <v/>
      </c>
      <c r="B197" s="2" t="str">
        <f>IF(A197&lt;&gt;"",'ENC to Device Cables'!G276,"")</f>
        <v/>
      </c>
      <c r="C197" t="str">
        <f>IF(A197&lt;&gt;"",'ENC to Device Cables'!H276,"")</f>
        <v/>
      </c>
      <c r="D197" s="1" t="str">
        <f>IF(A197&lt;&gt;"",'ENC to Device Cables'!I276,"")</f>
        <v/>
      </c>
    </row>
    <row r="198" spans="1:4" x14ac:dyDescent="0.2">
      <c r="A198" t="str">
        <f>IF('ENC to Device Cables'!F277&lt;&gt;"",'ENC to Device Cables'!F277,"")</f>
        <v/>
      </c>
      <c r="B198" s="2" t="str">
        <f>IF(A198&lt;&gt;"",'ENC to Device Cables'!G277,"")</f>
        <v/>
      </c>
      <c r="C198" t="str">
        <f>IF(A198&lt;&gt;"",'ENC to Device Cables'!H277,"")</f>
        <v/>
      </c>
      <c r="D198" s="1" t="str">
        <f>IF(A198&lt;&gt;"",'ENC to Device Cables'!I277,"")</f>
        <v/>
      </c>
    </row>
    <row r="199" spans="1:4" x14ac:dyDescent="0.2">
      <c r="A199" t="str">
        <f>IF('ENC to Device Cables'!F278&lt;&gt;"",'ENC to Device Cables'!F278,"")</f>
        <v/>
      </c>
      <c r="B199" s="2" t="str">
        <f>IF(A199&lt;&gt;"",'ENC to Device Cables'!G278,"")</f>
        <v/>
      </c>
      <c r="C199" t="str">
        <f>IF(A199&lt;&gt;"",'ENC to Device Cables'!H278,"")</f>
        <v/>
      </c>
      <c r="D199" s="1" t="str">
        <f>IF(A199&lt;&gt;"",'ENC to Device Cables'!I278,"")</f>
        <v/>
      </c>
    </row>
    <row r="200" spans="1:4" x14ac:dyDescent="0.2">
      <c r="A200" t="str">
        <f>IF('ENC to Device Cables'!F279&lt;&gt;"",'ENC to Device Cables'!F279,"")</f>
        <v/>
      </c>
      <c r="B200" s="2" t="str">
        <f>IF(A200&lt;&gt;"",'ENC to Device Cables'!G279,"")</f>
        <v/>
      </c>
      <c r="C200" t="str">
        <f>IF(A200&lt;&gt;"",'ENC to Device Cables'!H279,"")</f>
        <v/>
      </c>
      <c r="D200" s="1" t="str">
        <f>IF(A200&lt;&gt;"",'ENC to Device Cables'!I279,"")</f>
        <v/>
      </c>
    </row>
    <row r="201" spans="1:4" x14ac:dyDescent="0.2">
      <c r="A201" t="str">
        <f>IF('ENC to Device Cables'!F280&lt;&gt;"",'ENC to Device Cables'!F280,"")</f>
        <v/>
      </c>
      <c r="B201" s="2" t="str">
        <f>IF(A201&lt;&gt;"",'ENC to Device Cables'!G280,"")</f>
        <v/>
      </c>
      <c r="C201" t="str">
        <f>IF(A201&lt;&gt;"",'ENC to Device Cables'!H280,"")</f>
        <v/>
      </c>
      <c r="D201" s="1" t="str">
        <f>IF(A201&lt;&gt;"",'ENC to Device Cables'!I280,"")</f>
        <v/>
      </c>
    </row>
    <row r="202" spans="1:4" x14ac:dyDescent="0.2">
      <c r="A202" t="str">
        <f>IF('ENC to Device Cables'!F281&lt;&gt;"",'ENC to Device Cables'!F281,"")</f>
        <v/>
      </c>
      <c r="B202" s="2" t="str">
        <f>IF(A202&lt;&gt;"",'ENC to Device Cables'!G281,"")</f>
        <v/>
      </c>
      <c r="C202" t="str">
        <f>IF(A202&lt;&gt;"",'ENC to Device Cables'!H281,"")</f>
        <v/>
      </c>
      <c r="D202" s="1" t="str">
        <f>IF(A202&lt;&gt;"",'ENC to Device Cables'!I281,"")</f>
        <v/>
      </c>
    </row>
    <row r="203" spans="1:4" x14ac:dyDescent="0.2">
      <c r="A203" t="str">
        <f>IF('ENC to Device Cables'!F282&lt;&gt;"",'ENC to Device Cables'!F282,"")</f>
        <v/>
      </c>
      <c r="B203" s="2" t="str">
        <f>IF(A203&lt;&gt;"",'ENC to Device Cables'!G282,"")</f>
        <v/>
      </c>
      <c r="C203" t="str">
        <f>IF(A203&lt;&gt;"",'ENC to Device Cables'!H282,"")</f>
        <v/>
      </c>
      <c r="D203" s="1" t="str">
        <f>IF(A203&lt;&gt;"",'ENC to Device Cables'!I282,"")</f>
        <v/>
      </c>
    </row>
    <row r="204" spans="1:4" x14ac:dyDescent="0.2">
      <c r="A204" t="str">
        <f>IF('ENC to Device Cables'!F283&lt;&gt;"",'ENC to Device Cables'!F283,"")</f>
        <v/>
      </c>
      <c r="B204" s="2" t="str">
        <f>IF(A204&lt;&gt;"",'ENC to Device Cables'!G283,"")</f>
        <v/>
      </c>
      <c r="C204" t="str">
        <f>IF(A204&lt;&gt;"",'ENC to Device Cables'!H283,"")</f>
        <v/>
      </c>
      <c r="D204" s="1" t="str">
        <f>IF(A204&lt;&gt;"",'ENC to Device Cables'!I283,"")</f>
        <v/>
      </c>
    </row>
    <row r="205" spans="1:4" x14ac:dyDescent="0.2">
      <c r="A205" t="str">
        <f>IF('ENC to Device Cables'!F284&lt;&gt;"",'ENC to Device Cables'!F284,"")</f>
        <v/>
      </c>
      <c r="B205" s="2" t="str">
        <f>IF(A205&lt;&gt;"",'ENC to Device Cables'!G284,"")</f>
        <v/>
      </c>
      <c r="C205" t="str">
        <f>IF(A205&lt;&gt;"",'ENC to Device Cables'!H284,"")</f>
        <v/>
      </c>
      <c r="D205" s="1" t="str">
        <f>IF(A205&lt;&gt;"",'ENC to Device Cables'!I284,"")</f>
        <v/>
      </c>
    </row>
    <row r="206" spans="1:4" x14ac:dyDescent="0.2">
      <c r="A206" t="str">
        <f>IF('ENC to Device Cables'!F285&lt;&gt;"",'ENC to Device Cables'!F285,"")</f>
        <v/>
      </c>
      <c r="B206" s="2" t="str">
        <f>IF(A206&lt;&gt;"",'ENC to Device Cables'!G285,"")</f>
        <v/>
      </c>
      <c r="C206" t="str">
        <f>IF(A206&lt;&gt;"",'ENC to Device Cables'!H285,"")</f>
        <v/>
      </c>
      <c r="D206" s="1" t="str">
        <f>IF(A206&lt;&gt;"",'ENC to Device Cables'!I285,"")</f>
        <v/>
      </c>
    </row>
    <row r="207" spans="1:4" x14ac:dyDescent="0.2">
      <c r="A207" t="str">
        <f>IF('ENC to Device Cables'!F286&lt;&gt;"",'ENC to Device Cables'!F286,"")</f>
        <v/>
      </c>
      <c r="B207" s="2" t="str">
        <f>IF(A207&lt;&gt;"",'ENC to Device Cables'!G286,"")</f>
        <v/>
      </c>
      <c r="C207" t="str">
        <f>IF(A207&lt;&gt;"",'ENC to Device Cables'!H286,"")</f>
        <v/>
      </c>
      <c r="D207" s="1" t="str">
        <f>IF(A207&lt;&gt;"",'ENC to Device Cables'!I286,"")</f>
        <v/>
      </c>
    </row>
    <row r="208" spans="1:4" x14ac:dyDescent="0.2">
      <c r="A208" t="str">
        <f>IF('ENC to Device Cables'!F287&lt;&gt;"",'ENC to Device Cables'!F287,"")</f>
        <v/>
      </c>
      <c r="B208" s="2" t="str">
        <f>IF(A208&lt;&gt;"",'ENC to Device Cables'!G287,"")</f>
        <v/>
      </c>
      <c r="C208" t="str">
        <f>IF(A208&lt;&gt;"",'ENC to Device Cables'!H287,"")</f>
        <v/>
      </c>
      <c r="D208" s="1" t="str">
        <f>IF(A208&lt;&gt;"",'ENC to Device Cables'!I287,"")</f>
        <v/>
      </c>
    </row>
    <row r="209" spans="1:4" x14ac:dyDescent="0.2">
      <c r="A209" t="str">
        <f>IF('ENC to Device Cables'!F288&lt;&gt;"",'ENC to Device Cables'!F288,"")</f>
        <v/>
      </c>
      <c r="B209" s="2" t="str">
        <f>IF(A209&lt;&gt;"",'ENC to Device Cables'!G288,"")</f>
        <v/>
      </c>
      <c r="C209" t="str">
        <f>IF(A209&lt;&gt;"",'ENC to Device Cables'!H288,"")</f>
        <v/>
      </c>
      <c r="D209" s="1" t="str">
        <f>IF(A209&lt;&gt;"",'ENC to Device Cables'!I288,"")</f>
        <v/>
      </c>
    </row>
    <row r="210" spans="1:4" x14ac:dyDescent="0.2">
      <c r="A210" t="str">
        <f>IF('ENC to Device Cables'!F289&lt;&gt;"",'ENC to Device Cables'!F289,"")</f>
        <v/>
      </c>
      <c r="B210" s="2" t="str">
        <f>IF(A210&lt;&gt;"",'ENC to Device Cables'!G289,"")</f>
        <v/>
      </c>
      <c r="C210" t="str">
        <f>IF(A210&lt;&gt;"",'ENC to Device Cables'!H289,"")</f>
        <v/>
      </c>
      <c r="D210" s="1" t="str">
        <f>IF(A210&lt;&gt;"",'ENC to Device Cables'!I289,"")</f>
        <v/>
      </c>
    </row>
    <row r="211" spans="1:4" x14ac:dyDescent="0.2">
      <c r="A211" t="str">
        <f>IF('ENC to Device Cables'!F290&lt;&gt;"",'ENC to Device Cables'!F290,"")</f>
        <v/>
      </c>
      <c r="B211" s="2" t="str">
        <f>IF(A211&lt;&gt;"",'ENC to Device Cables'!G290,"")</f>
        <v/>
      </c>
      <c r="C211" t="str">
        <f>IF(A211&lt;&gt;"",'ENC to Device Cables'!H290,"")</f>
        <v/>
      </c>
      <c r="D211" s="1" t="str">
        <f>IF(A211&lt;&gt;"",'ENC to Device Cables'!I290,"")</f>
        <v/>
      </c>
    </row>
    <row r="212" spans="1:4" x14ac:dyDescent="0.2">
      <c r="A212" t="str">
        <f>IF('ENC to Device Cables'!F291&lt;&gt;"",'ENC to Device Cables'!F291,"")</f>
        <v/>
      </c>
      <c r="B212" s="2" t="str">
        <f>IF(A212&lt;&gt;"",'ENC to Device Cables'!G291,"")</f>
        <v/>
      </c>
      <c r="C212" t="str">
        <f>IF(A212&lt;&gt;"",'ENC to Device Cables'!H291,"")</f>
        <v/>
      </c>
      <c r="D212" s="1" t="str">
        <f>IF(A212&lt;&gt;"",'ENC to Device Cables'!I291,"")</f>
        <v/>
      </c>
    </row>
    <row r="213" spans="1:4" x14ac:dyDescent="0.2">
      <c r="A213" t="str">
        <f>IF('ENC to Device Cables'!F292&lt;&gt;"",'ENC to Device Cables'!F292,"")</f>
        <v/>
      </c>
      <c r="B213" s="2" t="str">
        <f>IF(A213&lt;&gt;"",'ENC to Device Cables'!G292,"")</f>
        <v/>
      </c>
      <c r="C213" t="str">
        <f>IF(A213&lt;&gt;"",'ENC to Device Cables'!H292,"")</f>
        <v/>
      </c>
      <c r="D213" s="1" t="str">
        <f>IF(A213&lt;&gt;"",'ENC to Device Cables'!I292,"")</f>
        <v/>
      </c>
    </row>
    <row r="214" spans="1:4" x14ac:dyDescent="0.2">
      <c r="A214" t="str">
        <f>IF('ENC to Device Cables'!F293&lt;&gt;"",'ENC to Device Cables'!F293,"")</f>
        <v/>
      </c>
      <c r="B214" s="2" t="str">
        <f>IF(A214&lt;&gt;"",'ENC to Device Cables'!G293,"")</f>
        <v/>
      </c>
      <c r="C214" t="str">
        <f>IF(A214&lt;&gt;"",'ENC to Device Cables'!H293,"")</f>
        <v/>
      </c>
      <c r="D214" s="1" t="str">
        <f>IF(A214&lt;&gt;"",'ENC to Device Cables'!I293,"")</f>
        <v/>
      </c>
    </row>
    <row r="215" spans="1:4" x14ac:dyDescent="0.2">
      <c r="A215" t="str">
        <f>IF('ENC to Device Cables'!F294&lt;&gt;"",'ENC to Device Cables'!F294,"")</f>
        <v/>
      </c>
      <c r="B215" s="2" t="str">
        <f>IF(A215&lt;&gt;"",'ENC to Device Cables'!G294,"")</f>
        <v/>
      </c>
      <c r="C215" t="str">
        <f>IF(A215&lt;&gt;"",'ENC to Device Cables'!H294,"")</f>
        <v/>
      </c>
      <c r="D215" s="1" t="str">
        <f>IF(A215&lt;&gt;"",'ENC to Device Cables'!I294,"")</f>
        <v/>
      </c>
    </row>
    <row r="216" spans="1:4" x14ac:dyDescent="0.2">
      <c r="A216" t="str">
        <f>IF('ENC to Device Cables'!F295&lt;&gt;"",'ENC to Device Cables'!F295,"")</f>
        <v/>
      </c>
      <c r="B216" s="2" t="str">
        <f>IF(A216&lt;&gt;"",'ENC to Device Cables'!G295,"")</f>
        <v/>
      </c>
      <c r="C216" t="str">
        <f>IF(A216&lt;&gt;"",'ENC to Device Cables'!H295,"")</f>
        <v/>
      </c>
      <c r="D216" s="1" t="str">
        <f>IF(A216&lt;&gt;"",'ENC to Device Cables'!I295,"")</f>
        <v/>
      </c>
    </row>
    <row r="217" spans="1:4" x14ac:dyDescent="0.2">
      <c r="A217" t="str">
        <f>IF('ENC to Device Cables'!F296&lt;&gt;"",'ENC to Device Cables'!F296,"")</f>
        <v/>
      </c>
      <c r="B217" s="2" t="str">
        <f>IF(A217&lt;&gt;"",'ENC to Device Cables'!G296,"")</f>
        <v/>
      </c>
      <c r="C217" t="str">
        <f>IF(A217&lt;&gt;"",'ENC to Device Cables'!H296,"")</f>
        <v/>
      </c>
      <c r="D217" s="1" t="str">
        <f>IF(A217&lt;&gt;"",'ENC to Device Cables'!I296,"")</f>
        <v/>
      </c>
    </row>
    <row r="218" spans="1:4" x14ac:dyDescent="0.2">
      <c r="A218" t="str">
        <f>IF('ENC to Device Cables'!F297&lt;&gt;"",'ENC to Device Cables'!F297,"")</f>
        <v/>
      </c>
      <c r="B218" s="2" t="str">
        <f>IF(A218&lt;&gt;"",'ENC to Device Cables'!G297,"")</f>
        <v/>
      </c>
      <c r="C218" t="str">
        <f>IF(A218&lt;&gt;"",'ENC to Device Cables'!H297,"")</f>
        <v/>
      </c>
      <c r="D218" s="1" t="str">
        <f>IF(A218&lt;&gt;"",'ENC to Device Cables'!I297,"")</f>
        <v/>
      </c>
    </row>
    <row r="219" spans="1:4" x14ac:dyDescent="0.2">
      <c r="A219" t="str">
        <f>IF('ENC to Device Cables'!F298&lt;&gt;"",'ENC to Device Cables'!F298,"")</f>
        <v/>
      </c>
      <c r="B219" s="2" t="str">
        <f>IF(A219&lt;&gt;"",'ENC to Device Cables'!G298,"")</f>
        <v/>
      </c>
      <c r="C219" t="str">
        <f>IF(A219&lt;&gt;"",'ENC to Device Cables'!H298,"")</f>
        <v/>
      </c>
      <c r="D219" s="1" t="str">
        <f>IF(A219&lt;&gt;"",'ENC to Device Cables'!I298,"")</f>
        <v/>
      </c>
    </row>
    <row r="220" spans="1:4" x14ac:dyDescent="0.2">
      <c r="A220" t="str">
        <f>IF('ENC to Device Cables'!F299&lt;&gt;"",'ENC to Device Cables'!F299,"")</f>
        <v/>
      </c>
      <c r="B220" s="2" t="str">
        <f>IF(A220&lt;&gt;"",'ENC to Device Cables'!G299,"")</f>
        <v/>
      </c>
      <c r="C220" t="str">
        <f>IF(A220&lt;&gt;"",'ENC to Device Cables'!H299,"")</f>
        <v/>
      </c>
      <c r="D220" s="1" t="str">
        <f>IF(A220&lt;&gt;"",'ENC to Device Cables'!I299,"")</f>
        <v/>
      </c>
    </row>
    <row r="221" spans="1:4" x14ac:dyDescent="0.2">
      <c r="A221" t="str">
        <f>IF('ENC to Device Cables'!F300&lt;&gt;"",'ENC to Device Cables'!F300,"")</f>
        <v/>
      </c>
      <c r="B221" s="2" t="str">
        <f>IF(A221&lt;&gt;"",'ENC to Device Cables'!G300,"")</f>
        <v/>
      </c>
      <c r="C221" t="str">
        <f>IF(A221&lt;&gt;"",'ENC to Device Cables'!H300,"")</f>
        <v/>
      </c>
      <c r="D221" s="1" t="str">
        <f>IF(A221&lt;&gt;"",'ENC to Device Cables'!I300,"")</f>
        <v/>
      </c>
    </row>
    <row r="222" spans="1:4" x14ac:dyDescent="0.2">
      <c r="A222" t="str">
        <f>IF('ENC to Device Cables'!F301&lt;&gt;"",'ENC to Device Cables'!F301,"")</f>
        <v/>
      </c>
      <c r="B222" s="2" t="str">
        <f>IF(A222&lt;&gt;"",'ENC to Device Cables'!G301,"")</f>
        <v/>
      </c>
      <c r="C222" t="str">
        <f>IF(A222&lt;&gt;"",'ENC to Device Cables'!H301,"")</f>
        <v/>
      </c>
      <c r="D222" s="1" t="str">
        <f>IF(A222&lt;&gt;"",'ENC to Device Cables'!I301,"")</f>
        <v/>
      </c>
    </row>
    <row r="223" spans="1:4" x14ac:dyDescent="0.2">
      <c r="A223" t="str">
        <f>IF('ENC to Device Cables'!F302&lt;&gt;"",'ENC to Device Cables'!F302,"")</f>
        <v/>
      </c>
      <c r="B223" s="2" t="str">
        <f>IF(A223&lt;&gt;"",'ENC to Device Cables'!G302,"")</f>
        <v/>
      </c>
      <c r="C223" t="str">
        <f>IF(A223&lt;&gt;"",'ENC to Device Cables'!H302,"")</f>
        <v/>
      </c>
      <c r="D223" s="1" t="str">
        <f>IF(A223&lt;&gt;"",'ENC to Device Cables'!I302,"")</f>
        <v/>
      </c>
    </row>
    <row r="224" spans="1:4" x14ac:dyDescent="0.2">
      <c r="A224" t="str">
        <f>IF('ENC to Device Cables'!F303&lt;&gt;"",'ENC to Device Cables'!F303,"")</f>
        <v/>
      </c>
      <c r="B224" s="2" t="str">
        <f>IF(A224&lt;&gt;"",'ENC to Device Cables'!G303,"")</f>
        <v/>
      </c>
      <c r="C224" t="str">
        <f>IF(A224&lt;&gt;"",'ENC to Device Cables'!H303,"")</f>
        <v/>
      </c>
      <c r="D224" s="1" t="str">
        <f>IF(A224&lt;&gt;"",'ENC to Device Cables'!I303,"")</f>
        <v/>
      </c>
    </row>
    <row r="225" spans="1:4" x14ac:dyDescent="0.2">
      <c r="A225" t="str">
        <f>IF('ENC to Device Cables'!F304&lt;&gt;"",'ENC to Device Cables'!F304,"")</f>
        <v/>
      </c>
      <c r="B225" s="2" t="str">
        <f>IF(A225&lt;&gt;"",'ENC to Device Cables'!G304,"")</f>
        <v/>
      </c>
      <c r="C225" t="str">
        <f>IF(A225&lt;&gt;"",'ENC to Device Cables'!H304,"")</f>
        <v/>
      </c>
      <c r="D225" s="1" t="str">
        <f>IF(A225&lt;&gt;"",'ENC to Device Cables'!I304,"")</f>
        <v/>
      </c>
    </row>
    <row r="226" spans="1:4" x14ac:dyDescent="0.2">
      <c r="A226" t="str">
        <f>IF('ENC to Device Cables'!F305&lt;&gt;"",'ENC to Device Cables'!F305,"")</f>
        <v/>
      </c>
      <c r="B226" s="2" t="str">
        <f>IF(A226&lt;&gt;"",'ENC to Device Cables'!G305,"")</f>
        <v/>
      </c>
      <c r="C226" t="str">
        <f>IF(A226&lt;&gt;"",'ENC to Device Cables'!H305,"")</f>
        <v/>
      </c>
      <c r="D226" s="1" t="str">
        <f>IF(A226&lt;&gt;"",'ENC to Device Cables'!I305,"")</f>
        <v/>
      </c>
    </row>
    <row r="227" spans="1:4" x14ac:dyDescent="0.2">
      <c r="A227" t="str">
        <f>IF('ENC to Device Cables'!F306&lt;&gt;"",'ENC to Device Cables'!F306,"")</f>
        <v/>
      </c>
      <c r="B227" s="2" t="str">
        <f>IF(A227&lt;&gt;"",'ENC to Device Cables'!G306,"")</f>
        <v/>
      </c>
      <c r="C227" t="str">
        <f>IF(A227&lt;&gt;"",'ENC to Device Cables'!H306,"")</f>
        <v/>
      </c>
      <c r="D227" s="1" t="str">
        <f>IF(A227&lt;&gt;"",'ENC to Device Cables'!I306,"")</f>
        <v/>
      </c>
    </row>
    <row r="228" spans="1:4" x14ac:dyDescent="0.2">
      <c r="A228" t="str">
        <f>IF('ENC to Device Cables'!F307&lt;&gt;"",'ENC to Device Cables'!F307,"")</f>
        <v/>
      </c>
      <c r="B228" s="2" t="str">
        <f>IF(A228&lt;&gt;"",'ENC to Device Cables'!G307,"")</f>
        <v/>
      </c>
      <c r="C228" t="str">
        <f>IF(A228&lt;&gt;"",'ENC to Device Cables'!H307,"")</f>
        <v/>
      </c>
      <c r="D228" s="1" t="str">
        <f>IF(A228&lt;&gt;"",'ENC to Device Cables'!I307,"")</f>
        <v/>
      </c>
    </row>
    <row r="229" spans="1:4" x14ac:dyDescent="0.2">
      <c r="A229" t="str">
        <f>IF('ENC to Device Cables'!F308&lt;&gt;"",'ENC to Device Cables'!F308,"")</f>
        <v/>
      </c>
      <c r="B229" s="2" t="str">
        <f>IF(A229&lt;&gt;"",'ENC to Device Cables'!G308,"")</f>
        <v/>
      </c>
      <c r="C229" t="str">
        <f>IF(A229&lt;&gt;"",'ENC to Device Cables'!H308,"")</f>
        <v/>
      </c>
      <c r="D229" s="1" t="str">
        <f>IF(A229&lt;&gt;"",'ENC to Device Cables'!I308,"")</f>
        <v/>
      </c>
    </row>
    <row r="230" spans="1:4" x14ac:dyDescent="0.2">
      <c r="A230" t="str">
        <f>IF('ENC to Device Cables'!F309&lt;&gt;"",'ENC to Device Cables'!F309,"")</f>
        <v/>
      </c>
      <c r="B230" s="2" t="str">
        <f>IF(A230&lt;&gt;"",'ENC to Device Cables'!G309,"")</f>
        <v/>
      </c>
      <c r="C230" t="str">
        <f>IF(A230&lt;&gt;"",'ENC to Device Cables'!H309,"")</f>
        <v/>
      </c>
      <c r="D230" s="1" t="str">
        <f>IF(A230&lt;&gt;"",'ENC to Device Cables'!I309,"")</f>
        <v/>
      </c>
    </row>
    <row r="231" spans="1:4" x14ac:dyDescent="0.2">
      <c r="A231" t="str">
        <f>IF('ENC to Device Cables'!F310&lt;&gt;"",'ENC to Device Cables'!F310,"")</f>
        <v/>
      </c>
      <c r="B231" s="2" t="str">
        <f>IF(A231&lt;&gt;"",'ENC to Device Cables'!G310,"")</f>
        <v/>
      </c>
      <c r="C231" t="str">
        <f>IF(A231&lt;&gt;"",'ENC to Device Cables'!H310,"")</f>
        <v/>
      </c>
      <c r="D231" s="1" t="str">
        <f>IF(A231&lt;&gt;"",'ENC to Device Cables'!I310,"")</f>
        <v/>
      </c>
    </row>
    <row r="232" spans="1:4" x14ac:dyDescent="0.2">
      <c r="A232" t="str">
        <f>IF('ENC to Device Cables'!F311&lt;&gt;"",'ENC to Device Cables'!F311,"")</f>
        <v/>
      </c>
      <c r="B232" s="2" t="str">
        <f>IF(A232&lt;&gt;"",'ENC to Device Cables'!G311,"")</f>
        <v/>
      </c>
      <c r="C232" t="str">
        <f>IF(A232&lt;&gt;"",'ENC to Device Cables'!H311,"")</f>
        <v/>
      </c>
      <c r="D232" s="1" t="str">
        <f>IF(A232&lt;&gt;"",'ENC to Device Cables'!I311,"")</f>
        <v/>
      </c>
    </row>
    <row r="233" spans="1:4" x14ac:dyDescent="0.2">
      <c r="A233" t="str">
        <f>IF('ENC to Device Cables'!F312&lt;&gt;"",'ENC to Device Cables'!F312,"")</f>
        <v/>
      </c>
      <c r="B233" s="2" t="str">
        <f>IF(A233&lt;&gt;"",'ENC to Device Cables'!G312,"")</f>
        <v/>
      </c>
      <c r="C233" t="str">
        <f>IF(A233&lt;&gt;"",'ENC to Device Cables'!H312,"")</f>
        <v/>
      </c>
      <c r="D233" s="1" t="str">
        <f>IF(A233&lt;&gt;"",'ENC to Device Cables'!I312,"")</f>
        <v/>
      </c>
    </row>
    <row r="234" spans="1:4" x14ac:dyDescent="0.2">
      <c r="A234" t="str">
        <f>IF('ENC to Device Cables'!F313&lt;&gt;"",'ENC to Device Cables'!F313,"")</f>
        <v/>
      </c>
      <c r="B234" s="2" t="str">
        <f>IF(A234&lt;&gt;"",'ENC to Device Cables'!G313,"")</f>
        <v/>
      </c>
      <c r="C234" t="str">
        <f>IF(A234&lt;&gt;"",'ENC to Device Cables'!H313,"")</f>
        <v/>
      </c>
      <c r="D234" s="1" t="str">
        <f>IF(A234&lt;&gt;"",'ENC to Device Cables'!I313,"")</f>
        <v/>
      </c>
    </row>
    <row r="235" spans="1:4" x14ac:dyDescent="0.2">
      <c r="A235" t="str">
        <f>IF('ENC to Device Cables'!F314&lt;&gt;"",'ENC to Device Cables'!F314,"")</f>
        <v/>
      </c>
      <c r="B235" s="2" t="str">
        <f>IF(A235&lt;&gt;"",'ENC to Device Cables'!G314,"")</f>
        <v/>
      </c>
      <c r="C235" t="str">
        <f>IF(A235&lt;&gt;"",'ENC to Device Cables'!H314,"")</f>
        <v/>
      </c>
      <c r="D235" s="1" t="str">
        <f>IF(A235&lt;&gt;"",'ENC to Device Cables'!I314,"")</f>
        <v/>
      </c>
    </row>
    <row r="236" spans="1:4" x14ac:dyDescent="0.2">
      <c r="A236" t="str">
        <f>IF('ENC to Device Cables'!F315&lt;&gt;"",'ENC to Device Cables'!F315,"")</f>
        <v/>
      </c>
      <c r="B236" s="2" t="str">
        <f>IF(A236&lt;&gt;"",'ENC to Device Cables'!G315,"")</f>
        <v/>
      </c>
      <c r="C236" t="str">
        <f>IF(A236&lt;&gt;"",'ENC to Device Cables'!H315,"")</f>
        <v/>
      </c>
      <c r="D236" s="1" t="str">
        <f>IF(A236&lt;&gt;"",'ENC to Device Cables'!I315,"")</f>
        <v/>
      </c>
    </row>
    <row r="237" spans="1:4" x14ac:dyDescent="0.2">
      <c r="A237" t="str">
        <f>IF('ENC to Device Cables'!F316&lt;&gt;"",'ENC to Device Cables'!F316,"")</f>
        <v/>
      </c>
      <c r="B237" s="2" t="str">
        <f>IF(A237&lt;&gt;"",'ENC to Device Cables'!G316,"")</f>
        <v/>
      </c>
      <c r="C237" t="str">
        <f>IF(A237&lt;&gt;"",'ENC to Device Cables'!H316,"")</f>
        <v/>
      </c>
      <c r="D237" s="1" t="str">
        <f>IF(A237&lt;&gt;"",'ENC to Device Cables'!I316,"")</f>
        <v/>
      </c>
    </row>
    <row r="238" spans="1:4" x14ac:dyDescent="0.2">
      <c r="A238" t="str">
        <f>IF('ENC to Device Cables'!F317&lt;&gt;"",'ENC to Device Cables'!F317,"")</f>
        <v/>
      </c>
      <c r="B238" s="2" t="str">
        <f>IF(A238&lt;&gt;"",'ENC to Device Cables'!G317,"")</f>
        <v/>
      </c>
      <c r="C238" t="str">
        <f>IF(A238&lt;&gt;"",'ENC to Device Cables'!H317,"")</f>
        <v/>
      </c>
      <c r="D238" s="1" t="str">
        <f>IF(A238&lt;&gt;"",'ENC to Device Cables'!I317,"")</f>
        <v/>
      </c>
    </row>
    <row r="239" spans="1:4" x14ac:dyDescent="0.2">
      <c r="A239" t="str">
        <f>IF('ENC to Device Cables'!F318&lt;&gt;"",'ENC to Device Cables'!F318,"")</f>
        <v/>
      </c>
      <c r="B239" s="2" t="str">
        <f>IF(A239&lt;&gt;"",'ENC to Device Cables'!G318,"")</f>
        <v/>
      </c>
      <c r="C239" t="str">
        <f>IF(A239&lt;&gt;"",'ENC to Device Cables'!H318,"")</f>
        <v/>
      </c>
      <c r="D239" s="1" t="str">
        <f>IF(A239&lt;&gt;"",'ENC to Device Cables'!I318,"")</f>
        <v/>
      </c>
    </row>
    <row r="240" spans="1:4" x14ac:dyDescent="0.2">
      <c r="A240" t="str">
        <f>IF('ENC to Device Cables'!F319&lt;&gt;"",'ENC to Device Cables'!F319,"")</f>
        <v/>
      </c>
      <c r="B240" s="2" t="str">
        <f>IF(A240&lt;&gt;"",'ENC to Device Cables'!G319,"")</f>
        <v/>
      </c>
      <c r="C240" t="str">
        <f>IF(A240&lt;&gt;"",'ENC to Device Cables'!H319,"")</f>
        <v/>
      </c>
      <c r="D240" s="1" t="str">
        <f>IF(A240&lt;&gt;"",'ENC to Device Cables'!I319,"")</f>
        <v/>
      </c>
    </row>
    <row r="241" spans="1:4" x14ac:dyDescent="0.2">
      <c r="A241" t="str">
        <f>IF('ENC to Device Cables'!F320&lt;&gt;"",'ENC to Device Cables'!F320,"")</f>
        <v/>
      </c>
      <c r="B241" s="2" t="str">
        <f>IF(A241&lt;&gt;"",'ENC to Device Cables'!G320,"")</f>
        <v/>
      </c>
      <c r="C241" t="str">
        <f>IF(A241&lt;&gt;"",'ENC to Device Cables'!H320,"")</f>
        <v/>
      </c>
      <c r="D241" s="1" t="str">
        <f>IF(A241&lt;&gt;"",'ENC to Device Cables'!I320,"")</f>
        <v/>
      </c>
    </row>
    <row r="242" spans="1:4" x14ac:dyDescent="0.2">
      <c r="A242" t="str">
        <f>IF('ENC to Device Cables'!F321&lt;&gt;"",'ENC to Device Cables'!F321,"")</f>
        <v/>
      </c>
      <c r="B242" s="2" t="str">
        <f>IF(A242&lt;&gt;"",'ENC to Device Cables'!G321,"")</f>
        <v/>
      </c>
      <c r="C242" t="str">
        <f>IF(A242&lt;&gt;"",'ENC to Device Cables'!H321,"")</f>
        <v/>
      </c>
      <c r="D242" s="1" t="str">
        <f>IF(A242&lt;&gt;"",'ENC to Device Cables'!I321,"")</f>
        <v/>
      </c>
    </row>
    <row r="243" spans="1:4" x14ac:dyDescent="0.2">
      <c r="A243" t="str">
        <f>IF('ENC to Device Cables'!F322&lt;&gt;"",'ENC to Device Cables'!F322,"")</f>
        <v/>
      </c>
      <c r="B243" s="2" t="str">
        <f>IF(A243&lt;&gt;"",'ENC to Device Cables'!G322,"")</f>
        <v/>
      </c>
      <c r="C243" t="str">
        <f>IF(A243&lt;&gt;"",'ENC to Device Cables'!H322,"")</f>
        <v/>
      </c>
      <c r="D243" s="1" t="str">
        <f>IF(A243&lt;&gt;"",'ENC to Device Cables'!I322,"")</f>
        <v/>
      </c>
    </row>
    <row r="244" spans="1:4" x14ac:dyDescent="0.2">
      <c r="A244" t="str">
        <f>IF('ENC to Device Cables'!F323&lt;&gt;"",'ENC to Device Cables'!F323,"")</f>
        <v/>
      </c>
      <c r="B244" s="2" t="str">
        <f>IF(A244&lt;&gt;"",'ENC to Device Cables'!G323,"")</f>
        <v/>
      </c>
      <c r="C244" t="str">
        <f>IF(A244&lt;&gt;"",'ENC to Device Cables'!H323,"")</f>
        <v/>
      </c>
      <c r="D244" s="1" t="str">
        <f>IF(A244&lt;&gt;"",'ENC to Device Cables'!I323,"")</f>
        <v/>
      </c>
    </row>
    <row r="245" spans="1:4" x14ac:dyDescent="0.2">
      <c r="A245" t="str">
        <f>IF('ENC to Device Cables'!F324&lt;&gt;"",'ENC to Device Cables'!F324,"")</f>
        <v/>
      </c>
      <c r="B245" s="2" t="str">
        <f>IF(A245&lt;&gt;"",'ENC to Device Cables'!G324,"")</f>
        <v/>
      </c>
      <c r="C245" t="str">
        <f>IF(A245&lt;&gt;"",'ENC to Device Cables'!H324,"")</f>
        <v/>
      </c>
      <c r="D245" s="1" t="str">
        <f>IF(A245&lt;&gt;"",'ENC to Device Cables'!I324,"")</f>
        <v/>
      </c>
    </row>
    <row r="246" spans="1:4" x14ac:dyDescent="0.2">
      <c r="A246" t="str">
        <f>IF('ENC to Device Cables'!F325&lt;&gt;"",'ENC to Device Cables'!F325,"")</f>
        <v/>
      </c>
      <c r="B246" s="2" t="str">
        <f>IF(A246&lt;&gt;"",'ENC to Device Cables'!G325,"")</f>
        <v/>
      </c>
      <c r="C246" t="str">
        <f>IF(A246&lt;&gt;"",'ENC to Device Cables'!H325,"")</f>
        <v/>
      </c>
      <c r="D246" s="1" t="str">
        <f>IF(A246&lt;&gt;"",'ENC to Device Cables'!I325,"")</f>
        <v/>
      </c>
    </row>
    <row r="247" spans="1:4" x14ac:dyDescent="0.2">
      <c r="A247" t="str">
        <f>IF('ENC to Device Cables'!F326&lt;&gt;"",'ENC to Device Cables'!F326,"")</f>
        <v/>
      </c>
      <c r="B247" s="2" t="str">
        <f>IF(A247&lt;&gt;"",'ENC to Device Cables'!G326,"")</f>
        <v/>
      </c>
      <c r="C247" t="str">
        <f>IF(A247&lt;&gt;"",'ENC to Device Cables'!H326,"")</f>
        <v/>
      </c>
      <c r="D247" s="1" t="str">
        <f>IF(A247&lt;&gt;"",'ENC to Device Cables'!I326,"")</f>
        <v/>
      </c>
    </row>
    <row r="248" spans="1:4" x14ac:dyDescent="0.2">
      <c r="A248" t="str">
        <f>IF('ENC to Device Cables'!F327&lt;&gt;"",'ENC to Device Cables'!F327,"")</f>
        <v/>
      </c>
      <c r="B248" s="2" t="str">
        <f>IF(A248&lt;&gt;"",'ENC to Device Cables'!G327,"")</f>
        <v/>
      </c>
      <c r="C248" t="str">
        <f>IF(A248&lt;&gt;"",'ENC to Device Cables'!H327,"")</f>
        <v/>
      </c>
      <c r="D248" s="1" t="str">
        <f>IF(A248&lt;&gt;"",'ENC to Device Cables'!I327,"")</f>
        <v/>
      </c>
    </row>
    <row r="249" spans="1:4" x14ac:dyDescent="0.2">
      <c r="A249" t="str">
        <f>IF('ENC to Device Cables'!F328&lt;&gt;"",'ENC to Device Cables'!F328,"")</f>
        <v/>
      </c>
      <c r="B249" s="2" t="str">
        <f>IF(A249&lt;&gt;"",'ENC to Device Cables'!G328,"")</f>
        <v/>
      </c>
      <c r="C249" t="str">
        <f>IF(A249&lt;&gt;"",'ENC to Device Cables'!H328,"")</f>
        <v/>
      </c>
      <c r="D249" s="1" t="str">
        <f>IF(A249&lt;&gt;"",'ENC to Device Cables'!I328,"")</f>
        <v/>
      </c>
    </row>
    <row r="250" spans="1:4" x14ac:dyDescent="0.2">
      <c r="A250" t="str">
        <f>IF('ENC to Device Cables'!F329&lt;&gt;"",'ENC to Device Cables'!F329,"")</f>
        <v/>
      </c>
      <c r="B250" s="2" t="str">
        <f>IF(A250&lt;&gt;"",'ENC to Device Cables'!G329,"")</f>
        <v/>
      </c>
      <c r="C250" t="str">
        <f>IF(A250&lt;&gt;"",'ENC to Device Cables'!H329,"")</f>
        <v/>
      </c>
      <c r="D250" s="1" t="str">
        <f>IF(A250&lt;&gt;"",'ENC to Device Cables'!I329,"")</f>
        <v/>
      </c>
    </row>
    <row r="251" spans="1:4" x14ac:dyDescent="0.2">
      <c r="A251" t="str">
        <f>IF('ENC to Device Cables'!F330&lt;&gt;"",'ENC to Device Cables'!F330,"")</f>
        <v/>
      </c>
      <c r="B251" s="2" t="str">
        <f>IF(A251&lt;&gt;"",'ENC to Device Cables'!G330,"")</f>
        <v/>
      </c>
      <c r="C251" t="str">
        <f>IF(A251&lt;&gt;"",'ENC to Device Cables'!H330,"")</f>
        <v/>
      </c>
      <c r="D251" s="1" t="str">
        <f>IF(A251&lt;&gt;"",'ENC to Device Cables'!I330,"")</f>
        <v/>
      </c>
    </row>
    <row r="252" spans="1:4" x14ac:dyDescent="0.2">
      <c r="A252" t="str">
        <f>IF('ENC to Device Cables'!F331&lt;&gt;"",'ENC to Device Cables'!F331,"")</f>
        <v/>
      </c>
      <c r="B252" s="2" t="str">
        <f>IF(A252&lt;&gt;"",'ENC to Device Cables'!G331,"")</f>
        <v/>
      </c>
      <c r="C252" t="str">
        <f>IF(A252&lt;&gt;"",'ENC to Device Cables'!H331,"")</f>
        <v/>
      </c>
      <c r="D252" s="1" t="str">
        <f>IF(A252&lt;&gt;"",'ENC to Device Cables'!I331,"")</f>
        <v/>
      </c>
    </row>
    <row r="253" spans="1:4" x14ac:dyDescent="0.2">
      <c r="A253" t="str">
        <f>IF('ENC to Device Cables'!F332&lt;&gt;"",'ENC to Device Cables'!F332,"")</f>
        <v/>
      </c>
      <c r="B253" s="2" t="str">
        <f>IF(A253&lt;&gt;"",'ENC to Device Cables'!G332,"")</f>
        <v/>
      </c>
      <c r="C253" t="str">
        <f>IF(A253&lt;&gt;"",'ENC to Device Cables'!H332,"")</f>
        <v/>
      </c>
      <c r="D253" s="1" t="str">
        <f>IF(A253&lt;&gt;"",'ENC to Device Cables'!I332,"")</f>
        <v/>
      </c>
    </row>
    <row r="254" spans="1:4" x14ac:dyDescent="0.2">
      <c r="A254" t="str">
        <f>IF('ENC to Device Cables'!F333&lt;&gt;"",'ENC to Device Cables'!F333,"")</f>
        <v/>
      </c>
      <c r="B254" s="2" t="str">
        <f>IF(A254&lt;&gt;"",'ENC to Device Cables'!G333,"")</f>
        <v/>
      </c>
      <c r="C254" t="str">
        <f>IF(A254&lt;&gt;"",'ENC to Device Cables'!H333,"")</f>
        <v/>
      </c>
      <c r="D254" s="1" t="str">
        <f>IF(A254&lt;&gt;"",'ENC to Device Cables'!I333,"")</f>
        <v/>
      </c>
    </row>
    <row r="255" spans="1:4" x14ac:dyDescent="0.2">
      <c r="A255" t="str">
        <f>IF('ENC to Device Cables'!F334&lt;&gt;"",'ENC to Device Cables'!F334,"")</f>
        <v/>
      </c>
      <c r="B255" s="2" t="str">
        <f>IF(A255&lt;&gt;"",'ENC to Device Cables'!G334,"")</f>
        <v/>
      </c>
      <c r="C255" t="str">
        <f>IF(A255&lt;&gt;"",'ENC to Device Cables'!H334,"")</f>
        <v/>
      </c>
      <c r="D255" s="1" t="str">
        <f>IF(A255&lt;&gt;"",'ENC to Device Cables'!I334,"")</f>
        <v/>
      </c>
    </row>
    <row r="256" spans="1:4" x14ac:dyDescent="0.2">
      <c r="A256" t="str">
        <f>IF('ENC to Device Cables'!F335&lt;&gt;"",'ENC to Device Cables'!F335,"")</f>
        <v/>
      </c>
      <c r="B256" s="2" t="str">
        <f>IF(A256&lt;&gt;"",'ENC to Device Cables'!G335,"")</f>
        <v/>
      </c>
      <c r="C256" t="str">
        <f>IF(A256&lt;&gt;"",'ENC to Device Cables'!H335,"")</f>
        <v/>
      </c>
      <c r="D256" s="1" t="str">
        <f>IF(A256&lt;&gt;"",'ENC to Device Cables'!I335,"")</f>
        <v/>
      </c>
    </row>
    <row r="257" spans="1:4" x14ac:dyDescent="0.2">
      <c r="A257" t="str">
        <f>IF('ENC to Device Cables'!F336&lt;&gt;"",'ENC to Device Cables'!F336,"")</f>
        <v/>
      </c>
      <c r="B257" s="2" t="str">
        <f>IF(A257&lt;&gt;"",'ENC to Device Cables'!G336,"")</f>
        <v/>
      </c>
      <c r="C257" t="str">
        <f>IF(A257&lt;&gt;"",'ENC to Device Cables'!H336,"")</f>
        <v/>
      </c>
      <c r="D257" s="1" t="str">
        <f>IF(A257&lt;&gt;"",'ENC to Device Cables'!I336,"")</f>
        <v/>
      </c>
    </row>
    <row r="258" spans="1:4" x14ac:dyDescent="0.2">
      <c r="A258" t="str">
        <f>IF('ENC to Device Cables'!F337&lt;&gt;"",'ENC to Device Cables'!F337,"")</f>
        <v/>
      </c>
      <c r="B258" s="2" t="str">
        <f>IF(A258&lt;&gt;"",'ENC to Device Cables'!G337,"")</f>
        <v/>
      </c>
      <c r="C258" t="str">
        <f>IF(A258&lt;&gt;"",'ENC to Device Cables'!H337,"")</f>
        <v/>
      </c>
      <c r="D258" s="1" t="str">
        <f>IF(A258&lt;&gt;"",'ENC to Device Cables'!I337,"")</f>
        <v/>
      </c>
    </row>
    <row r="259" spans="1:4" x14ac:dyDescent="0.2">
      <c r="A259" t="str">
        <f>IF('ENC to Device Cables'!F338&lt;&gt;"",'ENC to Device Cables'!F338,"")</f>
        <v/>
      </c>
      <c r="B259" s="2" t="str">
        <f>IF(A259&lt;&gt;"",'ENC to Device Cables'!G338,"")</f>
        <v/>
      </c>
      <c r="C259" t="str">
        <f>IF(A259&lt;&gt;"",'ENC to Device Cables'!H338,"")</f>
        <v/>
      </c>
      <c r="D259" s="1" t="str">
        <f>IF(A259&lt;&gt;"",'ENC to Device Cables'!I338,"")</f>
        <v/>
      </c>
    </row>
    <row r="260" spans="1:4" x14ac:dyDescent="0.2">
      <c r="A260" t="str">
        <f>IF('ENC to Device Cables'!F339&lt;&gt;"",'ENC to Device Cables'!F339,"")</f>
        <v/>
      </c>
      <c r="B260" s="2" t="str">
        <f>IF(A260&lt;&gt;"",'ENC to Device Cables'!G339,"")</f>
        <v/>
      </c>
      <c r="C260" t="str">
        <f>IF(A260&lt;&gt;"",'ENC to Device Cables'!H339,"")</f>
        <v/>
      </c>
      <c r="D260" s="1" t="str">
        <f>IF(A260&lt;&gt;"",'ENC to Device Cables'!I339,"")</f>
        <v/>
      </c>
    </row>
    <row r="261" spans="1:4" x14ac:dyDescent="0.2">
      <c r="A261" t="str">
        <f>IF('ENC to Device Cables'!F340&lt;&gt;"",'ENC to Device Cables'!F340,"")</f>
        <v/>
      </c>
      <c r="B261" s="2" t="str">
        <f>IF(A261&lt;&gt;"",'ENC to Device Cables'!G340,"")</f>
        <v/>
      </c>
      <c r="C261" t="str">
        <f>IF(A261&lt;&gt;"",'ENC to Device Cables'!H340,"")</f>
        <v/>
      </c>
      <c r="D261" s="1" t="str">
        <f>IF(A261&lt;&gt;"",'ENC to Device Cables'!I340,"")</f>
        <v/>
      </c>
    </row>
    <row r="262" spans="1:4" x14ac:dyDescent="0.2">
      <c r="A262" t="str">
        <f>IF('ENC to Device Cables'!F341&lt;&gt;"",'ENC to Device Cables'!F341,"")</f>
        <v/>
      </c>
      <c r="B262" s="2" t="str">
        <f>IF(A262&lt;&gt;"",'ENC to Device Cables'!G341,"")</f>
        <v/>
      </c>
      <c r="C262" t="str">
        <f>IF(A262&lt;&gt;"",'ENC to Device Cables'!H341,"")</f>
        <v/>
      </c>
      <c r="D262" s="1" t="str">
        <f>IF(A262&lt;&gt;"",'ENC to Device Cables'!I341,"")</f>
        <v/>
      </c>
    </row>
    <row r="263" spans="1:4" x14ac:dyDescent="0.2">
      <c r="A263" t="str">
        <f>IF('ENC to Device Cables'!F342&lt;&gt;"",'ENC to Device Cables'!F342,"")</f>
        <v/>
      </c>
      <c r="B263" s="2" t="str">
        <f>IF(A263&lt;&gt;"",'ENC to Device Cables'!G342,"")</f>
        <v/>
      </c>
      <c r="C263" t="str">
        <f>IF(A263&lt;&gt;"",'ENC to Device Cables'!H342,"")</f>
        <v/>
      </c>
      <c r="D263" s="1" t="str">
        <f>IF(A263&lt;&gt;"",'ENC to Device Cables'!I342,"")</f>
        <v/>
      </c>
    </row>
    <row r="264" spans="1:4" x14ac:dyDescent="0.2">
      <c r="A264" t="str">
        <f>IF('ENC to Device Cables'!F343&lt;&gt;"",'ENC to Device Cables'!F343,"")</f>
        <v/>
      </c>
      <c r="B264" s="2" t="str">
        <f>IF(A264&lt;&gt;"",'ENC to Device Cables'!G343,"")</f>
        <v/>
      </c>
      <c r="C264" t="str">
        <f>IF(A264&lt;&gt;"",'ENC to Device Cables'!H343,"")</f>
        <v/>
      </c>
      <c r="D264" s="1" t="str">
        <f>IF(A264&lt;&gt;"",'ENC to Device Cables'!I343,"")</f>
        <v/>
      </c>
    </row>
    <row r="265" spans="1:4" x14ac:dyDescent="0.2">
      <c r="A265" t="str">
        <f>IF('ENC to Device Cables'!F344&lt;&gt;"",'ENC to Device Cables'!F344,"")</f>
        <v/>
      </c>
      <c r="B265" s="2" t="str">
        <f>IF(A265&lt;&gt;"",'ENC to Device Cables'!G344,"")</f>
        <v/>
      </c>
      <c r="C265" t="str">
        <f>IF(A265&lt;&gt;"",'ENC to Device Cables'!H344,"")</f>
        <v/>
      </c>
      <c r="D265" s="1" t="str">
        <f>IF(A265&lt;&gt;"",'ENC to Device Cables'!I344,"")</f>
        <v/>
      </c>
    </row>
    <row r="266" spans="1:4" x14ac:dyDescent="0.2">
      <c r="A266" t="str">
        <f>IF('ENC to Device Cables'!F345&lt;&gt;"",'ENC to Device Cables'!F345,"")</f>
        <v/>
      </c>
      <c r="B266" s="2" t="str">
        <f>IF(A266&lt;&gt;"",'ENC to Device Cables'!G345,"")</f>
        <v/>
      </c>
      <c r="C266" t="str">
        <f>IF(A266&lt;&gt;"",'ENC to Device Cables'!H345,"")</f>
        <v/>
      </c>
      <c r="D266" s="1" t="str">
        <f>IF(A266&lt;&gt;"",'ENC to Device Cables'!I345,"")</f>
        <v/>
      </c>
    </row>
    <row r="267" spans="1:4" x14ac:dyDescent="0.2">
      <c r="A267" t="str">
        <f>IF('ENC to Device Cables'!F346&lt;&gt;"",'ENC to Device Cables'!F346,"")</f>
        <v/>
      </c>
      <c r="B267" s="2" t="str">
        <f>IF(A267&lt;&gt;"",'ENC to Device Cables'!G346,"")</f>
        <v/>
      </c>
      <c r="C267" t="str">
        <f>IF(A267&lt;&gt;"",'ENC to Device Cables'!H346,"")</f>
        <v/>
      </c>
      <c r="D267" s="1" t="str">
        <f>IF(A267&lt;&gt;"",'ENC to Device Cables'!I346,"")</f>
        <v/>
      </c>
    </row>
    <row r="268" spans="1:4" x14ac:dyDescent="0.2">
      <c r="A268" t="str">
        <f>IF('ENC to Device Cables'!F347&lt;&gt;"",'ENC to Device Cables'!F347,"")</f>
        <v/>
      </c>
      <c r="B268" s="2" t="str">
        <f>IF(A268&lt;&gt;"",'ENC to Device Cables'!G347,"")</f>
        <v/>
      </c>
      <c r="C268" t="str">
        <f>IF(A268&lt;&gt;"",'ENC to Device Cables'!H347,"")</f>
        <v/>
      </c>
      <c r="D268" s="1" t="str">
        <f>IF(A268&lt;&gt;"",'ENC to Device Cables'!I347,"")</f>
        <v/>
      </c>
    </row>
    <row r="269" spans="1:4" x14ac:dyDescent="0.2">
      <c r="A269" t="str">
        <f>IF('ENC to Device Cables'!F348&lt;&gt;"",'ENC to Device Cables'!F348,"")</f>
        <v/>
      </c>
      <c r="B269" s="2" t="str">
        <f>IF(A269&lt;&gt;"",'ENC to Device Cables'!G348,"")</f>
        <v/>
      </c>
      <c r="C269" t="str">
        <f>IF(A269&lt;&gt;"",'ENC to Device Cables'!H348,"")</f>
        <v/>
      </c>
      <c r="D269" s="1" t="str">
        <f>IF(A269&lt;&gt;"",'ENC to Device Cables'!I348,"")</f>
        <v/>
      </c>
    </row>
    <row r="270" spans="1:4" x14ac:dyDescent="0.2">
      <c r="A270" t="str">
        <f>IF('ENC to Device Cables'!F349&lt;&gt;"",'ENC to Device Cables'!F349,"")</f>
        <v/>
      </c>
      <c r="B270" s="2" t="str">
        <f>IF(A270&lt;&gt;"",'ENC to Device Cables'!G349,"")</f>
        <v/>
      </c>
      <c r="C270" t="str">
        <f>IF(A270&lt;&gt;"",'ENC to Device Cables'!H349,"")</f>
        <v/>
      </c>
      <c r="D270" s="1" t="str">
        <f>IF(A270&lt;&gt;"",'ENC to Device Cables'!I349,"")</f>
        <v/>
      </c>
    </row>
    <row r="271" spans="1:4" x14ac:dyDescent="0.2">
      <c r="A271" t="str">
        <f>IF('ENC to Device Cables'!F350&lt;&gt;"",'ENC to Device Cables'!F350,"")</f>
        <v/>
      </c>
      <c r="B271" s="2" t="str">
        <f>IF(A271&lt;&gt;"",'ENC to Device Cables'!G350,"")</f>
        <v/>
      </c>
      <c r="C271" t="str">
        <f>IF(A271&lt;&gt;"",'ENC to Device Cables'!H350,"")</f>
        <v/>
      </c>
      <c r="D271" s="1" t="str">
        <f>IF(A271&lt;&gt;"",'ENC to Device Cables'!I350,"")</f>
        <v/>
      </c>
    </row>
    <row r="272" spans="1:4" x14ac:dyDescent="0.2">
      <c r="A272" t="str">
        <f>IF('ENC to Device Cables'!F351&lt;&gt;"",'ENC to Device Cables'!F351,"")</f>
        <v/>
      </c>
      <c r="B272" s="2" t="str">
        <f>IF(A272&lt;&gt;"",'ENC to Device Cables'!G351,"")</f>
        <v/>
      </c>
      <c r="C272" t="str">
        <f>IF(A272&lt;&gt;"",'ENC to Device Cables'!H351,"")</f>
        <v/>
      </c>
      <c r="D272" s="1" t="str">
        <f>IF(A272&lt;&gt;"",'ENC to Device Cables'!I351,"")</f>
        <v/>
      </c>
    </row>
    <row r="273" spans="1:4" x14ac:dyDescent="0.2">
      <c r="A273" t="str">
        <f>IF('ENC to Device Cables'!F352&lt;&gt;"",'ENC to Device Cables'!F352,"")</f>
        <v/>
      </c>
      <c r="B273" s="2" t="str">
        <f>IF(A273&lt;&gt;"",'ENC to Device Cables'!G352,"")</f>
        <v/>
      </c>
      <c r="C273" t="str">
        <f>IF(A273&lt;&gt;"",'ENC to Device Cables'!H352,"")</f>
        <v/>
      </c>
      <c r="D273" s="1" t="str">
        <f>IF(A273&lt;&gt;"",'ENC to Device Cables'!I352,"")</f>
        <v/>
      </c>
    </row>
    <row r="274" spans="1:4" x14ac:dyDescent="0.2">
      <c r="A274" t="str">
        <f>IF('ENC to Device Cables'!F353&lt;&gt;"",'ENC to Device Cables'!F353,"")</f>
        <v/>
      </c>
      <c r="B274" s="2" t="str">
        <f>IF(A274&lt;&gt;"",'ENC to Device Cables'!G353,"")</f>
        <v/>
      </c>
      <c r="C274" t="str">
        <f>IF(A274&lt;&gt;"",'ENC to Device Cables'!H353,"")</f>
        <v/>
      </c>
      <c r="D274" s="1" t="str">
        <f>IF(A274&lt;&gt;"",'ENC to Device Cables'!I353,"")</f>
        <v/>
      </c>
    </row>
    <row r="275" spans="1:4" x14ac:dyDescent="0.2">
      <c r="A275" t="str">
        <f>IF('ENC to Device Cables'!F354&lt;&gt;"",'ENC to Device Cables'!F354,"")</f>
        <v/>
      </c>
      <c r="B275" s="2" t="str">
        <f>IF(A275&lt;&gt;"",'ENC to Device Cables'!G354,"")</f>
        <v/>
      </c>
      <c r="C275" t="str">
        <f>IF(A275&lt;&gt;"",'ENC to Device Cables'!H354,"")</f>
        <v/>
      </c>
      <c r="D275" s="1" t="str">
        <f>IF(A275&lt;&gt;"",'ENC to Device Cables'!I354,"")</f>
        <v/>
      </c>
    </row>
    <row r="276" spans="1:4" x14ac:dyDescent="0.2">
      <c r="A276" t="str">
        <f>IF('ENC to Device Cables'!F355&lt;&gt;"",'ENC to Device Cables'!F355,"")</f>
        <v/>
      </c>
      <c r="B276" s="2" t="str">
        <f>IF(A276&lt;&gt;"",'ENC to Device Cables'!G355,"")</f>
        <v/>
      </c>
      <c r="C276" t="str">
        <f>IF(A276&lt;&gt;"",'ENC to Device Cables'!H355,"")</f>
        <v/>
      </c>
      <c r="D276" s="1" t="str">
        <f>IF(A276&lt;&gt;"",'ENC to Device Cables'!I355,"")</f>
        <v/>
      </c>
    </row>
    <row r="277" spans="1:4" x14ac:dyDescent="0.2">
      <c r="A277" t="str">
        <f>IF('ENC to Device Cables'!F356&lt;&gt;"",'ENC to Device Cables'!F356,"")</f>
        <v/>
      </c>
      <c r="B277" s="2" t="str">
        <f>IF(A277&lt;&gt;"",'ENC to Device Cables'!G356,"")</f>
        <v/>
      </c>
      <c r="C277" t="str">
        <f>IF(A277&lt;&gt;"",'ENC to Device Cables'!H356,"")</f>
        <v/>
      </c>
      <c r="D277" s="1" t="str">
        <f>IF(A277&lt;&gt;"",'ENC to Device Cables'!I356,"")</f>
        <v/>
      </c>
    </row>
    <row r="278" spans="1:4" x14ac:dyDescent="0.2">
      <c r="A278" t="str">
        <f>IF('ENC to Device Cables'!F357&lt;&gt;"",'ENC to Device Cables'!F357,"")</f>
        <v/>
      </c>
      <c r="B278" s="2" t="str">
        <f>IF(A278&lt;&gt;"",'ENC to Device Cables'!G357,"")</f>
        <v/>
      </c>
      <c r="C278" t="str">
        <f>IF(A278&lt;&gt;"",'ENC to Device Cables'!H357,"")</f>
        <v/>
      </c>
      <c r="D278" s="1" t="str">
        <f>IF(A278&lt;&gt;"",'ENC to Device Cables'!I357,"")</f>
        <v/>
      </c>
    </row>
    <row r="279" spans="1:4" x14ac:dyDescent="0.2">
      <c r="A279" t="str">
        <f>IF('ENC to Device Cables'!F358&lt;&gt;"",'ENC to Device Cables'!F358,"")</f>
        <v/>
      </c>
      <c r="B279" s="2" t="str">
        <f>IF(A279&lt;&gt;"",'ENC to Device Cables'!G358,"")</f>
        <v/>
      </c>
      <c r="C279" t="str">
        <f>IF(A279&lt;&gt;"",'ENC to Device Cables'!H358,"")</f>
        <v/>
      </c>
      <c r="D279" s="1" t="str">
        <f>IF(A279&lt;&gt;"",'ENC to Device Cables'!I358,"")</f>
        <v/>
      </c>
    </row>
    <row r="280" spans="1:4" x14ac:dyDescent="0.2">
      <c r="A280" t="str">
        <f>IF('ENC to Device Cables'!F359&lt;&gt;"",'ENC to Device Cables'!F359,"")</f>
        <v/>
      </c>
      <c r="B280" s="2" t="str">
        <f>IF(A280&lt;&gt;"",'ENC to Device Cables'!G359,"")</f>
        <v/>
      </c>
      <c r="C280" t="str">
        <f>IF(A280&lt;&gt;"",'ENC to Device Cables'!H359,"")</f>
        <v/>
      </c>
      <c r="D280" s="1" t="str">
        <f>IF(A280&lt;&gt;"",'ENC to Device Cables'!I359,"")</f>
        <v/>
      </c>
    </row>
    <row r="281" spans="1:4" x14ac:dyDescent="0.2">
      <c r="A281" t="str">
        <f>IF('ENC to Device Cables'!F360&lt;&gt;"",'ENC to Device Cables'!F360,"")</f>
        <v/>
      </c>
      <c r="B281" s="2" t="str">
        <f>IF(A281&lt;&gt;"",'ENC to Device Cables'!G360,"")</f>
        <v/>
      </c>
      <c r="C281" t="str">
        <f>IF(A281&lt;&gt;"",'ENC to Device Cables'!H360,"")</f>
        <v/>
      </c>
      <c r="D281" s="1" t="str">
        <f>IF(A281&lt;&gt;"",'ENC to Device Cables'!I360,"")</f>
        <v/>
      </c>
    </row>
    <row r="282" spans="1:4" x14ac:dyDescent="0.2">
      <c r="A282" t="str">
        <f>IF('ENC to Device Cables'!F361&lt;&gt;"",'ENC to Device Cables'!F361,"")</f>
        <v/>
      </c>
      <c r="B282" s="2" t="str">
        <f>IF(A282&lt;&gt;"",'ENC to Device Cables'!G361,"")</f>
        <v/>
      </c>
      <c r="C282" t="str">
        <f>IF(A282&lt;&gt;"",'ENC to Device Cables'!H361,"")</f>
        <v/>
      </c>
      <c r="D282" s="1" t="str">
        <f>IF(A282&lt;&gt;"",'ENC to Device Cables'!I361,"")</f>
        <v/>
      </c>
    </row>
    <row r="283" spans="1:4" x14ac:dyDescent="0.2">
      <c r="A283" t="str">
        <f>IF('ENC to Device Cables'!F362&lt;&gt;"",'ENC to Device Cables'!F362,"")</f>
        <v/>
      </c>
      <c r="B283" s="2" t="str">
        <f>IF(A283&lt;&gt;"",'ENC to Device Cables'!G362,"")</f>
        <v/>
      </c>
      <c r="C283" t="str">
        <f>IF(A283&lt;&gt;"",'ENC to Device Cables'!H362,"")</f>
        <v/>
      </c>
      <c r="D283" s="1" t="str">
        <f>IF(A283&lt;&gt;"",'ENC to Device Cables'!I362,"")</f>
        <v/>
      </c>
    </row>
    <row r="284" spans="1:4" x14ac:dyDescent="0.2">
      <c r="A284" t="str">
        <f>IF('ENC to Device Cables'!F363&lt;&gt;"",'ENC to Device Cables'!F363,"")</f>
        <v/>
      </c>
      <c r="B284" s="2" t="str">
        <f>IF(A284&lt;&gt;"",'ENC to Device Cables'!G363,"")</f>
        <v/>
      </c>
      <c r="C284" t="str">
        <f>IF(A284&lt;&gt;"",'ENC to Device Cables'!H363,"")</f>
        <v/>
      </c>
      <c r="D284" s="1" t="str">
        <f>IF(A284&lt;&gt;"",'ENC to Device Cables'!I363,"")</f>
        <v/>
      </c>
    </row>
    <row r="285" spans="1:4" x14ac:dyDescent="0.2">
      <c r="A285" t="str">
        <f>IF('ENC to Device Cables'!F364&lt;&gt;"",'ENC to Device Cables'!F364,"")</f>
        <v/>
      </c>
      <c r="B285" s="2" t="str">
        <f>IF(A285&lt;&gt;"",'ENC to Device Cables'!G364,"")</f>
        <v/>
      </c>
      <c r="C285" t="str">
        <f>IF(A285&lt;&gt;"",'ENC to Device Cables'!H364,"")</f>
        <v/>
      </c>
      <c r="D285" s="1" t="str">
        <f>IF(A285&lt;&gt;"",'ENC to Device Cables'!I364,"")</f>
        <v/>
      </c>
    </row>
    <row r="286" spans="1:4" x14ac:dyDescent="0.2">
      <c r="A286" t="str">
        <f>IF('ENC to Device Cables'!F365&lt;&gt;"",'ENC to Device Cables'!F365,"")</f>
        <v/>
      </c>
      <c r="B286" s="2" t="str">
        <f>IF(A286&lt;&gt;"",'ENC to Device Cables'!G365,"")</f>
        <v/>
      </c>
      <c r="C286" t="str">
        <f>IF(A286&lt;&gt;"",'ENC to Device Cables'!H365,"")</f>
        <v/>
      </c>
      <c r="D286" s="1" t="str">
        <f>IF(A286&lt;&gt;"",'ENC to Device Cables'!I365,"")</f>
        <v/>
      </c>
    </row>
    <row r="287" spans="1:4" x14ac:dyDescent="0.2">
      <c r="A287" t="str">
        <f>IF('ENC to Device Cables'!F366&lt;&gt;"",'ENC to Device Cables'!F366,"")</f>
        <v/>
      </c>
      <c r="B287" s="2" t="str">
        <f>IF(A287&lt;&gt;"",'ENC to Device Cables'!G366,"")</f>
        <v/>
      </c>
      <c r="C287" t="str">
        <f>IF(A287&lt;&gt;"",'ENC to Device Cables'!H366,"")</f>
        <v/>
      </c>
      <c r="D287" s="1" t="str">
        <f>IF(A287&lt;&gt;"",'ENC to Device Cables'!I366,"")</f>
        <v/>
      </c>
    </row>
    <row r="288" spans="1:4" x14ac:dyDescent="0.2">
      <c r="A288" t="str">
        <f>IF('ENC to Device Cables'!F367&lt;&gt;"",'ENC to Device Cables'!F367,"")</f>
        <v/>
      </c>
      <c r="B288" s="2" t="str">
        <f>IF(A288&lt;&gt;"",'ENC to Device Cables'!G367,"")</f>
        <v/>
      </c>
      <c r="C288" t="str">
        <f>IF(A288&lt;&gt;"",'ENC to Device Cables'!H367,"")</f>
        <v/>
      </c>
      <c r="D288" s="1" t="str">
        <f>IF(A288&lt;&gt;"",'ENC to Device Cables'!I367,"")</f>
        <v/>
      </c>
    </row>
    <row r="289" spans="1:4" x14ac:dyDescent="0.2">
      <c r="A289" t="str">
        <f>IF('ENC to Device Cables'!F368&lt;&gt;"",'ENC to Device Cables'!F368,"")</f>
        <v/>
      </c>
      <c r="B289" s="2" t="str">
        <f>IF(A289&lt;&gt;"",'ENC to Device Cables'!G368,"")</f>
        <v/>
      </c>
      <c r="C289" t="str">
        <f>IF(A289&lt;&gt;"",'ENC to Device Cables'!H368,"")</f>
        <v/>
      </c>
      <c r="D289" s="1" t="str">
        <f>IF(A289&lt;&gt;"",'ENC to Device Cables'!I368,"")</f>
        <v/>
      </c>
    </row>
    <row r="290" spans="1:4" x14ac:dyDescent="0.2">
      <c r="A290" t="str">
        <f>IF('ENC to Device Cables'!F369&lt;&gt;"",'ENC to Device Cables'!F369,"")</f>
        <v/>
      </c>
      <c r="B290" s="2" t="str">
        <f>IF(A290&lt;&gt;"",'ENC to Device Cables'!G369,"")</f>
        <v/>
      </c>
      <c r="C290" t="str">
        <f>IF(A290&lt;&gt;"",'ENC to Device Cables'!H369,"")</f>
        <v/>
      </c>
      <c r="D290" s="1" t="str">
        <f>IF(A290&lt;&gt;"",'ENC to Device Cables'!I369,"")</f>
        <v/>
      </c>
    </row>
    <row r="291" spans="1:4" x14ac:dyDescent="0.2">
      <c r="A291" t="str">
        <f>IF('ENC to Device Cables'!F370&lt;&gt;"",'ENC to Device Cables'!F370,"")</f>
        <v/>
      </c>
      <c r="B291" s="2" t="str">
        <f>IF(A291&lt;&gt;"",'ENC to Device Cables'!G370,"")</f>
        <v/>
      </c>
      <c r="C291" t="str">
        <f>IF(A291&lt;&gt;"",'ENC to Device Cables'!H370,"")</f>
        <v/>
      </c>
      <c r="D291" s="1" t="str">
        <f>IF(A291&lt;&gt;"",'ENC to Device Cables'!I370,"")</f>
        <v/>
      </c>
    </row>
    <row r="292" spans="1:4" x14ac:dyDescent="0.2">
      <c r="A292" t="str">
        <f>IF('ENC to Device Cables'!F371&lt;&gt;"",'ENC to Device Cables'!F371,"")</f>
        <v/>
      </c>
      <c r="B292" s="2" t="str">
        <f>IF(A292&lt;&gt;"",'ENC to Device Cables'!G371,"")</f>
        <v/>
      </c>
      <c r="C292" t="str">
        <f>IF(A292&lt;&gt;"",'ENC to Device Cables'!H371,"")</f>
        <v/>
      </c>
      <c r="D292" s="1" t="str">
        <f>IF(A292&lt;&gt;"",'ENC to Device Cables'!I371,"")</f>
        <v/>
      </c>
    </row>
    <row r="293" spans="1:4" x14ac:dyDescent="0.2">
      <c r="A293" t="str">
        <f>IF('ENC to Device Cables'!F372&lt;&gt;"",'ENC to Device Cables'!F372,"")</f>
        <v/>
      </c>
      <c r="B293" s="2" t="str">
        <f>IF(A293&lt;&gt;"",'ENC to Device Cables'!G372,"")</f>
        <v/>
      </c>
      <c r="C293" t="str">
        <f>IF(A293&lt;&gt;"",'ENC to Device Cables'!H372,"")</f>
        <v/>
      </c>
      <c r="D293" s="1" t="str">
        <f>IF(A293&lt;&gt;"",'ENC to Device Cables'!I372,"")</f>
        <v/>
      </c>
    </row>
    <row r="294" spans="1:4" x14ac:dyDescent="0.2">
      <c r="A294" t="str">
        <f>IF('ENC to Device Cables'!F373&lt;&gt;"",'ENC to Device Cables'!F373,"")</f>
        <v/>
      </c>
      <c r="B294" s="2" t="str">
        <f>IF(A294&lt;&gt;"",'ENC to Device Cables'!G373,"")</f>
        <v/>
      </c>
      <c r="C294" t="str">
        <f>IF(A294&lt;&gt;"",'ENC to Device Cables'!H373,"")</f>
        <v/>
      </c>
      <c r="D294" s="1" t="str">
        <f>IF(A294&lt;&gt;"",'ENC to Device Cables'!I373,"")</f>
        <v/>
      </c>
    </row>
    <row r="295" spans="1:4" x14ac:dyDescent="0.2">
      <c r="A295" t="str">
        <f>IF('ENC to Device Cables'!F374&lt;&gt;"",'ENC to Device Cables'!F374,"")</f>
        <v/>
      </c>
      <c r="B295" s="2" t="str">
        <f>IF(A295&lt;&gt;"",'ENC to Device Cables'!G374,"")</f>
        <v/>
      </c>
      <c r="C295" t="str">
        <f>IF(A295&lt;&gt;"",'ENC to Device Cables'!H374,"")</f>
        <v/>
      </c>
      <c r="D295" s="1" t="str">
        <f>IF(A295&lt;&gt;"",'ENC to Device Cables'!I374,"")</f>
        <v/>
      </c>
    </row>
    <row r="296" spans="1:4" x14ac:dyDescent="0.2">
      <c r="A296" t="str">
        <f>IF('ENC to Device Cables'!F375&lt;&gt;"",'ENC to Device Cables'!F375,"")</f>
        <v/>
      </c>
      <c r="B296" s="2" t="str">
        <f>IF(A296&lt;&gt;"",'ENC to Device Cables'!G375,"")</f>
        <v/>
      </c>
      <c r="C296" t="str">
        <f>IF(A296&lt;&gt;"",'ENC to Device Cables'!H375,"")</f>
        <v/>
      </c>
      <c r="D296" s="1" t="str">
        <f>IF(A296&lt;&gt;"",'ENC to Device Cables'!I375,"")</f>
        <v/>
      </c>
    </row>
    <row r="297" spans="1:4" x14ac:dyDescent="0.2">
      <c r="A297" t="str">
        <f>IF('ENC to Device Cables'!F376&lt;&gt;"",'ENC to Device Cables'!F376,"")</f>
        <v/>
      </c>
      <c r="B297" s="2" t="str">
        <f>IF(A297&lt;&gt;"",'ENC to Device Cables'!G376,"")</f>
        <v/>
      </c>
      <c r="C297" t="str">
        <f>IF(A297&lt;&gt;"",'ENC to Device Cables'!H376,"")</f>
        <v/>
      </c>
      <c r="D297" s="1" t="str">
        <f>IF(A297&lt;&gt;"",'ENC to Device Cables'!I376,"")</f>
        <v/>
      </c>
    </row>
    <row r="298" spans="1:4" x14ac:dyDescent="0.2">
      <c r="A298" t="str">
        <f>IF('ENC to Device Cables'!F377&lt;&gt;"",'ENC to Device Cables'!F377,"")</f>
        <v/>
      </c>
      <c r="B298" s="2" t="str">
        <f>IF(A298&lt;&gt;"",'ENC to Device Cables'!G377,"")</f>
        <v/>
      </c>
      <c r="C298" t="str">
        <f>IF(A298&lt;&gt;"",'ENC to Device Cables'!H377,"")</f>
        <v/>
      </c>
      <c r="D298" s="1" t="str">
        <f>IF(A298&lt;&gt;"",'ENC to Device Cables'!I377,"")</f>
        <v/>
      </c>
    </row>
    <row r="299" spans="1:4" x14ac:dyDescent="0.2">
      <c r="A299" t="str">
        <f>IF('ENC to Device Cables'!F378&lt;&gt;"",'ENC to Device Cables'!F378,"")</f>
        <v/>
      </c>
      <c r="B299" s="2" t="str">
        <f>IF(A299&lt;&gt;"",'ENC to Device Cables'!G378,"")</f>
        <v/>
      </c>
      <c r="C299" t="str">
        <f>IF(A299&lt;&gt;"",'ENC to Device Cables'!H378,"")</f>
        <v/>
      </c>
      <c r="D299" s="1" t="str">
        <f>IF(A299&lt;&gt;"",'ENC to Device Cables'!I378,"")</f>
        <v/>
      </c>
    </row>
    <row r="300" spans="1:4" x14ac:dyDescent="0.2">
      <c r="A300" t="str">
        <f>IF('ENC to Device Cables'!F379&lt;&gt;"",'ENC to Device Cables'!F379,"")</f>
        <v/>
      </c>
      <c r="B300" s="2" t="str">
        <f>IF(A300&lt;&gt;"",'ENC to Device Cables'!G379,"")</f>
        <v/>
      </c>
      <c r="C300" t="str">
        <f>IF(A300&lt;&gt;"",'ENC to Device Cables'!H379,"")</f>
        <v/>
      </c>
      <c r="D300" s="1" t="str">
        <f>IF(A300&lt;&gt;"",'ENC to Device Cables'!I379,"")</f>
        <v/>
      </c>
    </row>
    <row r="301" spans="1:4" x14ac:dyDescent="0.2">
      <c r="A301" t="str">
        <f>IF('ENC to Device Cables'!F380&lt;&gt;"",'ENC to Device Cables'!F380,"")</f>
        <v/>
      </c>
      <c r="B301" s="2" t="str">
        <f>IF(A301&lt;&gt;"",'ENC to Device Cables'!G380,"")</f>
        <v/>
      </c>
      <c r="C301" t="str">
        <f>IF(A301&lt;&gt;"",'ENC to Device Cables'!H380,"")</f>
        <v/>
      </c>
      <c r="D301" s="1" t="str">
        <f>IF(A301&lt;&gt;"",'ENC to Device Cables'!I380,"")</f>
        <v/>
      </c>
    </row>
    <row r="302" spans="1:4" x14ac:dyDescent="0.2">
      <c r="A302" t="str">
        <f>IF('ENC to Device Cables'!F381&lt;&gt;"",'ENC to Device Cables'!F381,"")</f>
        <v/>
      </c>
      <c r="B302" s="2" t="str">
        <f>IF(A302&lt;&gt;"",'ENC to Device Cables'!G381,"")</f>
        <v/>
      </c>
      <c r="C302" t="str">
        <f>IF(A302&lt;&gt;"",'ENC to Device Cables'!H381,"")</f>
        <v/>
      </c>
      <c r="D302" s="1" t="str">
        <f>IF(A302&lt;&gt;"",'ENC to Device Cables'!I381,"")</f>
        <v/>
      </c>
    </row>
    <row r="303" spans="1:4" x14ac:dyDescent="0.2">
      <c r="A303" t="str">
        <f>IF('ENC to Device Cables'!F382&lt;&gt;"",'ENC to Device Cables'!F382,"")</f>
        <v/>
      </c>
      <c r="B303" s="2" t="str">
        <f>IF(A303&lt;&gt;"",'ENC to Device Cables'!G382,"")</f>
        <v/>
      </c>
      <c r="C303" t="str">
        <f>IF(A303&lt;&gt;"",'ENC to Device Cables'!H382,"")</f>
        <v/>
      </c>
      <c r="D303" s="1" t="str">
        <f>IF(A303&lt;&gt;"",'ENC to Device Cables'!I382,"")</f>
        <v/>
      </c>
    </row>
    <row r="304" spans="1:4" x14ac:dyDescent="0.2">
      <c r="A304" t="str">
        <f>IF('ENC to Device Cables'!F383&lt;&gt;"",'ENC to Device Cables'!F383,"")</f>
        <v/>
      </c>
      <c r="B304" s="2" t="str">
        <f>IF(A304&lt;&gt;"",'ENC to Device Cables'!G383,"")</f>
        <v/>
      </c>
      <c r="C304" t="str">
        <f>IF(A304&lt;&gt;"",'ENC to Device Cables'!H383,"")</f>
        <v/>
      </c>
      <c r="D304" s="1" t="str">
        <f>IF(A304&lt;&gt;"",'ENC to Device Cables'!I383,"")</f>
        <v/>
      </c>
    </row>
    <row r="305" spans="1:4" x14ac:dyDescent="0.2">
      <c r="A305" t="str">
        <f>IF('ENC to Device Cables'!F384&lt;&gt;"",'ENC to Device Cables'!F384,"")</f>
        <v/>
      </c>
      <c r="B305" s="2" t="str">
        <f>IF(A305&lt;&gt;"",'ENC to Device Cables'!G384,"")</f>
        <v/>
      </c>
      <c r="C305" t="str">
        <f>IF(A305&lt;&gt;"",'ENC to Device Cables'!H384,"")</f>
        <v/>
      </c>
      <c r="D305" s="1" t="str">
        <f>IF(A305&lt;&gt;"",'ENC to Device Cables'!I384,"")</f>
        <v/>
      </c>
    </row>
    <row r="306" spans="1:4" x14ac:dyDescent="0.2">
      <c r="A306" t="str">
        <f>IF('ENC to Device Cables'!F385&lt;&gt;"",'ENC to Device Cables'!F385,"")</f>
        <v/>
      </c>
      <c r="B306" s="2" t="str">
        <f>IF(A306&lt;&gt;"",'ENC to Device Cables'!G385,"")</f>
        <v/>
      </c>
      <c r="C306" t="str">
        <f>IF(A306&lt;&gt;"",'ENC to Device Cables'!H385,"")</f>
        <v/>
      </c>
      <c r="D306" s="1" t="str">
        <f>IF(A306&lt;&gt;"",'ENC to Device Cables'!I385,"")</f>
        <v/>
      </c>
    </row>
    <row r="307" spans="1:4" x14ac:dyDescent="0.2">
      <c r="A307" t="str">
        <f>IF('ENC to Device Cables'!F386&lt;&gt;"",'ENC to Device Cables'!F386,"")</f>
        <v/>
      </c>
      <c r="B307" s="2" t="str">
        <f>IF(A307&lt;&gt;"",'ENC to Device Cables'!G386,"")</f>
        <v/>
      </c>
      <c r="C307" t="str">
        <f>IF(A307&lt;&gt;"",'ENC to Device Cables'!H386,"")</f>
        <v/>
      </c>
      <c r="D307" s="1" t="str">
        <f>IF(A307&lt;&gt;"",'ENC to Device Cables'!I386,"")</f>
        <v/>
      </c>
    </row>
    <row r="308" spans="1:4" x14ac:dyDescent="0.2">
      <c r="A308" t="str">
        <f>IF('ENC to Device Cables'!F387&lt;&gt;"",'ENC to Device Cables'!F387,"")</f>
        <v/>
      </c>
      <c r="B308" s="2" t="str">
        <f>IF(A308&lt;&gt;"",'ENC to Device Cables'!G387,"")</f>
        <v/>
      </c>
      <c r="C308" t="str">
        <f>IF(A308&lt;&gt;"",'ENC to Device Cables'!H387,"")</f>
        <v/>
      </c>
      <c r="D308" s="1" t="str">
        <f>IF(A308&lt;&gt;"",'ENC to Device Cables'!I387,"")</f>
        <v/>
      </c>
    </row>
    <row r="309" spans="1:4" x14ac:dyDescent="0.2">
      <c r="A309" t="str">
        <f>IF('ENC to Device Cables'!F388&lt;&gt;"",'ENC to Device Cables'!F388,"")</f>
        <v/>
      </c>
      <c r="B309" s="2" t="str">
        <f>IF(A309&lt;&gt;"",'ENC to Device Cables'!G388,"")</f>
        <v/>
      </c>
      <c r="C309" t="str">
        <f>IF(A309&lt;&gt;"",'ENC to Device Cables'!H388,"")</f>
        <v/>
      </c>
      <c r="D309" s="1" t="str">
        <f>IF(A309&lt;&gt;"",'ENC to Device Cables'!I388,"")</f>
        <v/>
      </c>
    </row>
    <row r="310" spans="1:4" x14ac:dyDescent="0.2">
      <c r="A310" t="str">
        <f>IF('ENC to Device Cables'!F389&lt;&gt;"",'ENC to Device Cables'!F389,"")</f>
        <v/>
      </c>
      <c r="B310" s="2" t="str">
        <f>IF(A310&lt;&gt;"",'ENC to Device Cables'!G389,"")</f>
        <v/>
      </c>
      <c r="C310" t="str">
        <f>IF(A310&lt;&gt;"",'ENC to Device Cables'!H389,"")</f>
        <v/>
      </c>
      <c r="D310" s="1" t="str">
        <f>IF(A310&lt;&gt;"",'ENC to Device Cables'!I389,"")</f>
        <v/>
      </c>
    </row>
    <row r="311" spans="1:4" x14ac:dyDescent="0.2">
      <c r="A311" t="str">
        <f>IF('ENC to Device Cables'!F390&lt;&gt;"",'ENC to Device Cables'!F390,"")</f>
        <v/>
      </c>
      <c r="B311" s="2" t="str">
        <f>IF(A311&lt;&gt;"",'ENC to Device Cables'!G390,"")</f>
        <v/>
      </c>
      <c r="C311" t="str">
        <f>IF(A311&lt;&gt;"",'ENC to Device Cables'!H390,"")</f>
        <v/>
      </c>
      <c r="D311" s="1" t="str">
        <f>IF(A311&lt;&gt;"",'ENC to Device Cables'!I390,"")</f>
        <v/>
      </c>
    </row>
    <row r="312" spans="1:4" x14ac:dyDescent="0.2">
      <c r="A312" t="str">
        <f>IF('ENC to Device Cables'!F391&lt;&gt;"",'ENC to Device Cables'!F391,"")</f>
        <v/>
      </c>
      <c r="B312" s="2" t="str">
        <f>IF(A312&lt;&gt;"",'ENC to Device Cables'!G391,"")</f>
        <v/>
      </c>
      <c r="C312" t="str">
        <f>IF(A312&lt;&gt;"",'ENC to Device Cables'!H391,"")</f>
        <v/>
      </c>
      <c r="D312" s="1" t="str">
        <f>IF(A312&lt;&gt;"",'ENC to Device Cables'!I391,"")</f>
        <v/>
      </c>
    </row>
    <row r="313" spans="1:4" x14ac:dyDescent="0.2">
      <c r="A313" t="str">
        <f>IF('ENC to Device Cables'!F392&lt;&gt;"",'ENC to Device Cables'!F392,"")</f>
        <v/>
      </c>
      <c r="B313" s="2" t="str">
        <f>IF(A313&lt;&gt;"",'ENC to Device Cables'!G392,"")</f>
        <v/>
      </c>
      <c r="C313" t="str">
        <f>IF(A313&lt;&gt;"",'ENC to Device Cables'!H392,"")</f>
        <v/>
      </c>
      <c r="D313" s="1" t="str">
        <f>IF(A313&lt;&gt;"",'ENC to Device Cables'!I392,"")</f>
        <v/>
      </c>
    </row>
    <row r="314" spans="1:4" x14ac:dyDescent="0.2">
      <c r="A314" t="str">
        <f>IF('ENC to Device Cables'!F393&lt;&gt;"",'ENC to Device Cables'!F393,"")</f>
        <v/>
      </c>
      <c r="B314" s="2" t="str">
        <f>IF(A314&lt;&gt;"",'ENC to Device Cables'!G393,"")</f>
        <v/>
      </c>
      <c r="C314" t="str">
        <f>IF(A314&lt;&gt;"",'ENC to Device Cables'!H393,"")</f>
        <v/>
      </c>
      <c r="D314" s="1" t="str">
        <f>IF(A314&lt;&gt;"",'ENC to Device Cables'!I393,"")</f>
        <v/>
      </c>
    </row>
    <row r="315" spans="1:4" x14ac:dyDescent="0.2">
      <c r="A315" t="str">
        <f>IF('ENC to Device Cables'!F394&lt;&gt;"",'ENC to Device Cables'!F394,"")</f>
        <v/>
      </c>
      <c r="B315" s="2" t="str">
        <f>IF(A315&lt;&gt;"",'ENC to Device Cables'!G394,"")</f>
        <v/>
      </c>
      <c r="C315" t="str">
        <f>IF(A315&lt;&gt;"",'ENC to Device Cables'!H394,"")</f>
        <v/>
      </c>
      <c r="D315" s="1" t="str">
        <f>IF(A315&lt;&gt;"",'ENC to Device Cables'!I394,"")</f>
        <v/>
      </c>
    </row>
    <row r="316" spans="1:4" x14ac:dyDescent="0.2">
      <c r="A316" t="str">
        <f>IF('ENC to Device Cables'!F395&lt;&gt;"",'ENC to Device Cables'!F395,"")</f>
        <v/>
      </c>
      <c r="B316" s="2" t="str">
        <f>IF(A316&lt;&gt;"",'ENC to Device Cables'!G395,"")</f>
        <v/>
      </c>
      <c r="C316" t="str">
        <f>IF(A316&lt;&gt;"",'ENC to Device Cables'!H395,"")</f>
        <v/>
      </c>
      <c r="D316" s="1" t="str">
        <f>IF(A316&lt;&gt;"",'ENC to Device Cables'!I395,"")</f>
        <v/>
      </c>
    </row>
    <row r="317" spans="1:4" x14ac:dyDescent="0.2">
      <c r="A317" t="str">
        <f>IF('ENC to Device Cables'!F396&lt;&gt;"",'ENC to Device Cables'!F396,"")</f>
        <v/>
      </c>
      <c r="B317" s="2" t="str">
        <f>IF(A317&lt;&gt;"",'ENC to Device Cables'!G396,"")</f>
        <v/>
      </c>
      <c r="C317" t="str">
        <f>IF(A317&lt;&gt;"",'ENC to Device Cables'!H396,"")</f>
        <v/>
      </c>
      <c r="D317" s="1" t="str">
        <f>IF(A317&lt;&gt;"",'ENC to Device Cables'!I396,"")</f>
        <v/>
      </c>
    </row>
    <row r="318" spans="1:4" x14ac:dyDescent="0.2">
      <c r="A318" t="str">
        <f>IF('ENC to Device Cables'!F397&lt;&gt;"",'ENC to Device Cables'!F397,"")</f>
        <v/>
      </c>
      <c r="B318" s="2" t="str">
        <f>IF(A318&lt;&gt;"",'ENC to Device Cables'!G397,"")</f>
        <v/>
      </c>
      <c r="C318" t="str">
        <f>IF(A318&lt;&gt;"",'ENC to Device Cables'!H397,"")</f>
        <v/>
      </c>
      <c r="D318" s="1" t="str">
        <f>IF(A318&lt;&gt;"",'ENC to Device Cables'!I397,"")</f>
        <v/>
      </c>
    </row>
    <row r="319" spans="1:4" x14ac:dyDescent="0.2">
      <c r="A319" t="str">
        <f>IF('ENC to Device Cables'!F398&lt;&gt;"",'ENC to Device Cables'!F398,"")</f>
        <v/>
      </c>
      <c r="B319" s="2" t="str">
        <f>IF(A319&lt;&gt;"",'ENC to Device Cables'!G398,"")</f>
        <v/>
      </c>
      <c r="C319" t="str">
        <f>IF(A319&lt;&gt;"",'ENC to Device Cables'!H398,"")</f>
        <v/>
      </c>
      <c r="D319" s="1" t="str">
        <f>IF(A319&lt;&gt;"",'ENC to Device Cables'!I398,"")</f>
        <v/>
      </c>
    </row>
    <row r="320" spans="1:4" x14ac:dyDescent="0.2">
      <c r="A320" t="str">
        <f>IF('ENC to Device Cables'!F399&lt;&gt;"",'ENC to Device Cables'!F399,"")</f>
        <v/>
      </c>
      <c r="B320" s="2" t="str">
        <f>IF(A320&lt;&gt;"",'ENC to Device Cables'!G399,"")</f>
        <v/>
      </c>
      <c r="C320" t="str">
        <f>IF(A320&lt;&gt;"",'ENC to Device Cables'!H399,"")</f>
        <v/>
      </c>
      <c r="D320" s="1" t="str">
        <f>IF(A320&lt;&gt;"",'ENC to Device Cables'!I399,"")</f>
        <v/>
      </c>
    </row>
    <row r="321" spans="1:4" x14ac:dyDescent="0.2">
      <c r="A321" t="str">
        <f>IF('ENC to Device Cables'!F400&lt;&gt;"",'ENC to Device Cables'!F400,"")</f>
        <v/>
      </c>
      <c r="B321" s="2" t="str">
        <f>IF(A321&lt;&gt;"",'ENC to Device Cables'!G400,"")</f>
        <v/>
      </c>
      <c r="C321" t="str">
        <f>IF(A321&lt;&gt;"",'ENC to Device Cables'!H400,"")</f>
        <v/>
      </c>
      <c r="D321" s="1" t="str">
        <f>IF(A321&lt;&gt;"",'ENC to Device Cables'!I400,"")</f>
        <v/>
      </c>
    </row>
    <row r="322" spans="1:4" x14ac:dyDescent="0.2">
      <c r="A322" t="str">
        <f>IF('ENC to Device Cables'!F401&lt;&gt;"",'ENC to Device Cables'!F401,"")</f>
        <v/>
      </c>
      <c r="B322" s="2" t="str">
        <f>IF(A322&lt;&gt;"",'ENC to Device Cables'!G401,"")</f>
        <v/>
      </c>
      <c r="C322" t="str">
        <f>IF(A322&lt;&gt;"",'ENC to Device Cables'!H401,"")</f>
        <v/>
      </c>
      <c r="D322" s="1" t="str">
        <f>IF(A322&lt;&gt;"",'ENC to Device Cables'!I401,"")</f>
        <v/>
      </c>
    </row>
    <row r="323" spans="1:4" x14ac:dyDescent="0.2">
      <c r="A323" t="str">
        <f>IF('ENC to Device Cables'!F402&lt;&gt;"",'ENC to Device Cables'!F402,"")</f>
        <v/>
      </c>
      <c r="B323" s="2" t="str">
        <f>IF(A323&lt;&gt;"",'ENC to Device Cables'!G402,"")</f>
        <v/>
      </c>
      <c r="C323" t="str">
        <f>IF(A323&lt;&gt;"",'ENC to Device Cables'!H402,"")</f>
        <v/>
      </c>
      <c r="D323" s="1" t="str">
        <f>IF(A323&lt;&gt;"",'ENC to Device Cables'!I402,"")</f>
        <v/>
      </c>
    </row>
    <row r="324" spans="1:4" x14ac:dyDescent="0.2">
      <c r="A324" t="str">
        <f>IF('ENC to Device Cables'!F403&lt;&gt;"",'ENC to Device Cables'!F403,"")</f>
        <v/>
      </c>
      <c r="B324" s="2" t="str">
        <f>IF(A324&lt;&gt;"",'ENC to Device Cables'!G403,"")</f>
        <v/>
      </c>
      <c r="C324" t="str">
        <f>IF(A324&lt;&gt;"",'ENC to Device Cables'!H403,"")</f>
        <v/>
      </c>
      <c r="D324" s="1" t="str">
        <f>IF(A324&lt;&gt;"",'ENC to Device Cables'!I403,"")</f>
        <v/>
      </c>
    </row>
    <row r="325" spans="1:4" x14ac:dyDescent="0.2">
      <c r="A325" t="str">
        <f>IF('ENC to Device Cables'!F404&lt;&gt;"",'ENC to Device Cables'!F404,"")</f>
        <v/>
      </c>
      <c r="B325" s="2" t="str">
        <f>IF(A325&lt;&gt;"",'ENC to Device Cables'!G404,"")</f>
        <v/>
      </c>
      <c r="C325" t="str">
        <f>IF(A325&lt;&gt;"",'ENC to Device Cables'!H404,"")</f>
        <v/>
      </c>
      <c r="D325" s="1" t="str">
        <f>IF(A325&lt;&gt;"",'ENC to Device Cables'!I404,"")</f>
        <v/>
      </c>
    </row>
    <row r="326" spans="1:4" x14ac:dyDescent="0.2">
      <c r="A326" t="str">
        <f>IF('ENC to Device Cables'!F405&lt;&gt;"",'ENC to Device Cables'!F405,"")</f>
        <v/>
      </c>
      <c r="B326" s="2" t="str">
        <f>IF(A326&lt;&gt;"",'ENC to Device Cables'!G405,"")</f>
        <v/>
      </c>
      <c r="C326" t="str">
        <f>IF(A326&lt;&gt;"",'ENC to Device Cables'!H405,"")</f>
        <v/>
      </c>
      <c r="D326" s="1" t="str">
        <f>IF(A326&lt;&gt;"",'ENC to Device Cables'!I405,"")</f>
        <v/>
      </c>
    </row>
    <row r="327" spans="1:4" x14ac:dyDescent="0.2">
      <c r="A327" t="str">
        <f>IF('ENC to Device Cables'!F406&lt;&gt;"",'ENC to Device Cables'!F406,"")</f>
        <v/>
      </c>
      <c r="B327" s="2" t="str">
        <f>IF(A327&lt;&gt;"",'ENC to Device Cables'!G406,"")</f>
        <v/>
      </c>
      <c r="C327" t="str">
        <f>IF(A327&lt;&gt;"",'ENC to Device Cables'!H406,"")</f>
        <v/>
      </c>
      <c r="D327" s="1" t="str">
        <f>IF(A327&lt;&gt;"",'ENC to Device Cables'!I406,"")</f>
        <v/>
      </c>
    </row>
    <row r="328" spans="1:4" x14ac:dyDescent="0.2">
      <c r="A328" t="str">
        <f>IF('ENC to Device Cables'!F407&lt;&gt;"",'ENC to Device Cables'!F407,"")</f>
        <v/>
      </c>
      <c r="B328" s="2" t="str">
        <f>IF(A328&lt;&gt;"",'ENC to Device Cables'!G407,"")</f>
        <v/>
      </c>
      <c r="C328" t="str">
        <f>IF(A328&lt;&gt;"",'ENC to Device Cables'!H407,"")</f>
        <v/>
      </c>
      <c r="D328" s="1" t="str">
        <f>IF(A328&lt;&gt;"",'ENC to Device Cables'!I407,"")</f>
        <v/>
      </c>
    </row>
    <row r="329" spans="1:4" x14ac:dyDescent="0.2">
      <c r="A329" t="str">
        <f>IF('ENC to Device Cables'!F408&lt;&gt;"",'ENC to Device Cables'!F408,"")</f>
        <v/>
      </c>
      <c r="B329" s="2" t="str">
        <f>IF(A329&lt;&gt;"",'ENC to Device Cables'!G408,"")</f>
        <v/>
      </c>
      <c r="C329" t="str">
        <f>IF(A329&lt;&gt;"",'ENC to Device Cables'!H408,"")</f>
        <v/>
      </c>
      <c r="D329" s="1" t="str">
        <f>IF(A329&lt;&gt;"",'ENC to Device Cables'!I408,"")</f>
        <v/>
      </c>
    </row>
    <row r="330" spans="1:4" x14ac:dyDescent="0.2">
      <c r="A330" t="str">
        <f>IF('ENC to Device Cables'!F409&lt;&gt;"",'ENC to Device Cables'!F409,"")</f>
        <v/>
      </c>
      <c r="B330" s="2" t="str">
        <f>IF(A330&lt;&gt;"",'ENC to Device Cables'!G409,"")</f>
        <v/>
      </c>
      <c r="C330" t="str">
        <f>IF(A330&lt;&gt;"",'ENC to Device Cables'!H409,"")</f>
        <v/>
      </c>
      <c r="D330" s="1" t="str">
        <f>IF(A330&lt;&gt;"",'ENC to Device Cables'!I409,"")</f>
        <v/>
      </c>
    </row>
    <row r="331" spans="1:4" x14ac:dyDescent="0.2">
      <c r="A331" t="str">
        <f>IF('ENC to Device Cables'!F410&lt;&gt;"",'ENC to Device Cables'!F410,"")</f>
        <v/>
      </c>
      <c r="B331" s="2" t="str">
        <f>IF(A331&lt;&gt;"",'ENC to Device Cables'!G410,"")</f>
        <v/>
      </c>
      <c r="C331" t="str">
        <f>IF(A331&lt;&gt;"",'ENC to Device Cables'!H410,"")</f>
        <v/>
      </c>
      <c r="D331" s="1" t="str">
        <f>IF(A331&lt;&gt;"",'ENC to Device Cables'!I410,"")</f>
        <v/>
      </c>
    </row>
    <row r="332" spans="1:4" x14ac:dyDescent="0.2">
      <c r="A332" t="str">
        <f>IF('ENC to Device Cables'!F411&lt;&gt;"",'ENC to Device Cables'!F411,"")</f>
        <v/>
      </c>
      <c r="B332" s="2" t="str">
        <f>IF(A332&lt;&gt;"",'ENC to Device Cables'!G411,"")</f>
        <v/>
      </c>
      <c r="C332" t="str">
        <f>IF(A332&lt;&gt;"",'ENC to Device Cables'!H411,"")</f>
        <v/>
      </c>
      <c r="D332" s="1" t="str">
        <f>IF(A332&lt;&gt;"",'ENC to Device Cables'!I411,"")</f>
        <v/>
      </c>
    </row>
    <row r="333" spans="1:4" x14ac:dyDescent="0.2">
      <c r="A333" t="str">
        <f>IF('ENC to Device Cables'!F412&lt;&gt;"",'ENC to Device Cables'!F412,"")</f>
        <v/>
      </c>
      <c r="B333" s="2" t="str">
        <f>IF(A333&lt;&gt;"",'ENC to Device Cables'!G412,"")</f>
        <v/>
      </c>
      <c r="C333" t="str">
        <f>IF(A333&lt;&gt;"",'ENC to Device Cables'!H412,"")</f>
        <v/>
      </c>
      <c r="D333" s="1" t="str">
        <f>IF(A333&lt;&gt;"",'ENC to Device Cables'!I412,"")</f>
        <v/>
      </c>
    </row>
    <row r="334" spans="1:4" x14ac:dyDescent="0.2">
      <c r="A334" t="str">
        <f>IF('ENC to Device Cables'!F413&lt;&gt;"",'ENC to Device Cables'!F413,"")</f>
        <v/>
      </c>
      <c r="B334" s="2" t="str">
        <f>IF(A334&lt;&gt;"",'ENC to Device Cables'!G413,"")</f>
        <v/>
      </c>
      <c r="C334" t="str">
        <f>IF(A334&lt;&gt;"",'ENC to Device Cables'!H413,"")</f>
        <v/>
      </c>
      <c r="D334" s="1" t="str">
        <f>IF(A334&lt;&gt;"",'ENC to Device Cables'!I413,"")</f>
        <v/>
      </c>
    </row>
    <row r="335" spans="1:4" x14ac:dyDescent="0.2">
      <c r="A335" t="str">
        <f>IF('ENC to Device Cables'!F414&lt;&gt;"",'ENC to Device Cables'!F414,"")</f>
        <v/>
      </c>
      <c r="B335" s="2" t="str">
        <f>IF(A335&lt;&gt;"",'ENC to Device Cables'!G414,"")</f>
        <v/>
      </c>
      <c r="C335" t="str">
        <f>IF(A335&lt;&gt;"",'ENC to Device Cables'!H414,"")</f>
        <v/>
      </c>
      <c r="D335" s="1" t="str">
        <f>IF(A335&lt;&gt;"",'ENC to Device Cables'!I414,"")</f>
        <v/>
      </c>
    </row>
    <row r="336" spans="1:4" x14ac:dyDescent="0.2">
      <c r="A336" t="str">
        <f>IF('ENC to Device Cables'!F415&lt;&gt;"",'ENC to Device Cables'!F415,"")</f>
        <v/>
      </c>
      <c r="B336" s="2" t="str">
        <f>IF(A336&lt;&gt;"",'ENC to Device Cables'!G415,"")</f>
        <v/>
      </c>
      <c r="C336" t="str">
        <f>IF(A336&lt;&gt;"",'ENC to Device Cables'!H415,"")</f>
        <v/>
      </c>
      <c r="D336" s="1" t="str">
        <f>IF(A336&lt;&gt;"",'ENC to Device Cables'!I415,"")</f>
        <v/>
      </c>
    </row>
    <row r="337" spans="1:4" x14ac:dyDescent="0.2">
      <c r="A337" t="str">
        <f>IF('ENC to Device Cables'!F416&lt;&gt;"",'ENC to Device Cables'!F416,"")</f>
        <v/>
      </c>
      <c r="B337" s="2" t="str">
        <f>IF(A337&lt;&gt;"",'ENC to Device Cables'!G416,"")</f>
        <v/>
      </c>
      <c r="C337" t="str">
        <f>IF(A337&lt;&gt;"",'ENC to Device Cables'!H416,"")</f>
        <v/>
      </c>
      <c r="D337" s="1" t="str">
        <f>IF(A337&lt;&gt;"",'ENC to Device Cables'!I416,"")</f>
        <v/>
      </c>
    </row>
    <row r="338" spans="1:4" x14ac:dyDescent="0.2">
      <c r="A338" t="str">
        <f>IF('ENC to Device Cables'!F417&lt;&gt;"",'ENC to Device Cables'!F417,"")</f>
        <v/>
      </c>
      <c r="B338" s="2" t="str">
        <f>IF(A338&lt;&gt;"",'ENC to Device Cables'!G417,"")</f>
        <v/>
      </c>
      <c r="C338" t="str">
        <f>IF(A338&lt;&gt;"",'ENC to Device Cables'!H417,"")</f>
        <v/>
      </c>
      <c r="D338" s="1" t="str">
        <f>IF(A338&lt;&gt;"",'ENC to Device Cables'!I417,"")</f>
        <v/>
      </c>
    </row>
    <row r="339" spans="1:4" x14ac:dyDescent="0.2">
      <c r="A339" t="str">
        <f>IF('ENC to Device Cables'!F418&lt;&gt;"",'ENC to Device Cables'!F418,"")</f>
        <v/>
      </c>
      <c r="B339" s="2" t="str">
        <f>IF(A339&lt;&gt;"",'ENC to Device Cables'!G418,"")</f>
        <v/>
      </c>
      <c r="C339" t="str">
        <f>IF(A339&lt;&gt;"",'ENC to Device Cables'!H418,"")</f>
        <v/>
      </c>
      <c r="D339" s="1" t="str">
        <f>IF(A339&lt;&gt;"",'ENC to Device Cables'!I418,"")</f>
        <v/>
      </c>
    </row>
    <row r="340" spans="1:4" x14ac:dyDescent="0.2">
      <c r="A340" t="str">
        <f>IF('ENC to Device Cables'!F419&lt;&gt;"",'ENC to Device Cables'!F419,"")</f>
        <v/>
      </c>
      <c r="B340" s="2" t="str">
        <f>IF(A340&lt;&gt;"",'ENC to Device Cables'!G419,"")</f>
        <v/>
      </c>
      <c r="C340" t="str">
        <f>IF(A340&lt;&gt;"",'ENC to Device Cables'!H419,"")</f>
        <v/>
      </c>
      <c r="D340" s="1" t="str">
        <f>IF(A340&lt;&gt;"",'ENC to Device Cables'!I419,"")</f>
        <v/>
      </c>
    </row>
    <row r="341" spans="1:4" x14ac:dyDescent="0.2">
      <c r="A341" t="str">
        <f>IF('ENC to Device Cables'!F420&lt;&gt;"",'ENC to Device Cables'!F420,"")</f>
        <v/>
      </c>
      <c r="B341" s="2" t="str">
        <f>IF(A341&lt;&gt;"",'ENC to Device Cables'!G420,"")</f>
        <v/>
      </c>
      <c r="C341" t="str">
        <f>IF(A341&lt;&gt;"",'ENC to Device Cables'!H420,"")</f>
        <v/>
      </c>
      <c r="D341" s="1" t="str">
        <f>IF(A341&lt;&gt;"",'ENC to Device Cables'!I420,"")</f>
        <v/>
      </c>
    </row>
    <row r="342" spans="1:4" x14ac:dyDescent="0.2">
      <c r="A342" t="str">
        <f>IF('ENC to Device Cables'!F421&lt;&gt;"",'ENC to Device Cables'!F421,"")</f>
        <v/>
      </c>
      <c r="B342" s="2" t="str">
        <f>IF(A342&lt;&gt;"",'ENC to Device Cables'!G421,"")</f>
        <v/>
      </c>
      <c r="C342" t="str">
        <f>IF(A342&lt;&gt;"",'ENC to Device Cables'!H421,"")</f>
        <v/>
      </c>
      <c r="D342" s="1" t="str">
        <f>IF(A342&lt;&gt;"",'ENC to Device Cables'!I421,"")</f>
        <v/>
      </c>
    </row>
    <row r="343" spans="1:4" x14ac:dyDescent="0.2">
      <c r="A343" t="str">
        <f>IF('ENC to Device Cables'!F422&lt;&gt;"",'ENC to Device Cables'!F422,"")</f>
        <v/>
      </c>
      <c r="B343" s="2" t="str">
        <f>IF(A343&lt;&gt;"",'ENC to Device Cables'!G422,"")</f>
        <v/>
      </c>
      <c r="C343" t="str">
        <f>IF(A343&lt;&gt;"",'ENC to Device Cables'!H422,"")</f>
        <v/>
      </c>
      <c r="D343" s="1" t="str">
        <f>IF(A343&lt;&gt;"",'ENC to Device Cables'!I422,"")</f>
        <v/>
      </c>
    </row>
    <row r="344" spans="1:4" x14ac:dyDescent="0.2">
      <c r="A344" t="str">
        <f>IF('ENC to Device Cables'!F423&lt;&gt;"",'ENC to Device Cables'!F423,"")</f>
        <v/>
      </c>
      <c r="B344" s="2" t="str">
        <f>IF(A344&lt;&gt;"",'ENC to Device Cables'!G423,"")</f>
        <v/>
      </c>
      <c r="C344" t="str">
        <f>IF(A344&lt;&gt;"",'ENC to Device Cables'!H423,"")</f>
        <v/>
      </c>
      <c r="D344" s="1" t="str">
        <f>IF(A344&lt;&gt;"",'ENC to Device Cables'!I423,"")</f>
        <v/>
      </c>
    </row>
    <row r="345" spans="1:4" x14ac:dyDescent="0.2">
      <c r="A345" t="str">
        <f>IF('ENC to Device Cables'!F424&lt;&gt;"",'ENC to Device Cables'!F424,"")</f>
        <v/>
      </c>
      <c r="B345" s="2" t="str">
        <f>IF(A345&lt;&gt;"",'ENC to Device Cables'!G424,"")</f>
        <v/>
      </c>
      <c r="C345" t="str">
        <f>IF(A345&lt;&gt;"",'ENC to Device Cables'!H424,"")</f>
        <v/>
      </c>
      <c r="D345" s="1" t="str">
        <f>IF(A345&lt;&gt;"",'ENC to Device Cables'!I424,"")</f>
        <v/>
      </c>
    </row>
    <row r="346" spans="1:4" x14ac:dyDescent="0.2">
      <c r="A346" t="str">
        <f>IF('ENC to Device Cables'!F425&lt;&gt;"",'ENC to Device Cables'!F425,"")</f>
        <v/>
      </c>
      <c r="B346" s="2" t="str">
        <f>IF(A346&lt;&gt;"",'ENC to Device Cables'!G425,"")</f>
        <v/>
      </c>
      <c r="C346" t="str">
        <f>IF(A346&lt;&gt;"",'ENC to Device Cables'!H425,"")</f>
        <v/>
      </c>
      <c r="D346" s="1" t="str">
        <f>IF(A346&lt;&gt;"",'ENC to Device Cables'!I425,"")</f>
        <v/>
      </c>
    </row>
    <row r="347" spans="1:4" x14ac:dyDescent="0.2">
      <c r="A347" t="str">
        <f>IF('ENC to Device Cables'!F426&lt;&gt;"",'ENC to Device Cables'!F426,"")</f>
        <v/>
      </c>
      <c r="B347" s="2" t="str">
        <f>IF(A347&lt;&gt;"",'ENC to Device Cables'!G426,"")</f>
        <v/>
      </c>
      <c r="C347" t="str">
        <f>IF(A347&lt;&gt;"",'ENC to Device Cables'!H426,"")</f>
        <v/>
      </c>
      <c r="D347" s="1" t="str">
        <f>IF(A347&lt;&gt;"",'ENC to Device Cables'!I426,"")</f>
        <v/>
      </c>
    </row>
    <row r="348" spans="1:4" x14ac:dyDescent="0.2">
      <c r="A348" t="str">
        <f>IF('ENC to Device Cables'!F427&lt;&gt;"",'ENC to Device Cables'!F427,"")</f>
        <v/>
      </c>
      <c r="B348" s="2" t="str">
        <f>IF(A348&lt;&gt;"",'ENC to Device Cables'!G427,"")</f>
        <v/>
      </c>
      <c r="C348" t="str">
        <f>IF(A348&lt;&gt;"",'ENC to Device Cables'!H427,"")</f>
        <v/>
      </c>
      <c r="D348" s="1" t="str">
        <f>IF(A348&lt;&gt;"",'ENC to Device Cables'!I427,"")</f>
        <v/>
      </c>
    </row>
    <row r="349" spans="1:4" x14ac:dyDescent="0.2">
      <c r="A349" t="str">
        <f>IF('ENC to Device Cables'!F428&lt;&gt;"",'ENC to Device Cables'!F428,"")</f>
        <v/>
      </c>
      <c r="B349" s="2" t="str">
        <f>IF(A349&lt;&gt;"",'ENC to Device Cables'!G428,"")</f>
        <v/>
      </c>
      <c r="C349" t="str">
        <f>IF(A349&lt;&gt;"",'ENC to Device Cables'!H428,"")</f>
        <v/>
      </c>
      <c r="D349" s="1" t="str">
        <f>IF(A349&lt;&gt;"",'ENC to Device Cables'!I428,"")</f>
        <v/>
      </c>
    </row>
    <row r="350" spans="1:4" x14ac:dyDescent="0.2">
      <c r="A350" t="str">
        <f>IF('ENC to Device Cables'!F429&lt;&gt;"",'ENC to Device Cables'!F429,"")</f>
        <v/>
      </c>
      <c r="B350" s="2" t="str">
        <f>IF(A350&lt;&gt;"",'ENC to Device Cables'!G429,"")</f>
        <v/>
      </c>
      <c r="C350" t="str">
        <f>IF(A350&lt;&gt;"",'ENC to Device Cables'!H429,"")</f>
        <v/>
      </c>
      <c r="D350" s="1" t="str">
        <f>IF(A350&lt;&gt;"",'ENC to Device Cables'!I429,"")</f>
        <v/>
      </c>
    </row>
    <row r="351" spans="1:4" x14ac:dyDescent="0.2">
      <c r="A351" t="str">
        <f>IF('ENC to Device Cables'!F430&lt;&gt;"",'ENC to Device Cables'!F430,"")</f>
        <v/>
      </c>
      <c r="B351" s="2" t="str">
        <f>IF(A351&lt;&gt;"",'ENC to Device Cables'!G430,"")</f>
        <v/>
      </c>
      <c r="C351" t="str">
        <f>IF(A351&lt;&gt;"",'ENC to Device Cables'!H430,"")</f>
        <v/>
      </c>
      <c r="D351" s="1" t="str">
        <f>IF(A351&lt;&gt;"",'ENC to Device Cables'!I430,"")</f>
        <v/>
      </c>
    </row>
    <row r="352" spans="1:4" x14ac:dyDescent="0.2">
      <c r="A352" t="str">
        <f>IF('ENC to Device Cables'!F431&lt;&gt;"",'ENC to Device Cables'!F431,"")</f>
        <v/>
      </c>
      <c r="B352" s="2" t="str">
        <f>IF(A352&lt;&gt;"",'ENC to Device Cables'!G431,"")</f>
        <v/>
      </c>
      <c r="C352" t="str">
        <f>IF(A352&lt;&gt;"",'ENC to Device Cables'!H431,"")</f>
        <v/>
      </c>
      <c r="D352" s="1" t="str">
        <f>IF(A352&lt;&gt;"",'ENC to Device Cables'!I431,"")</f>
        <v/>
      </c>
    </row>
    <row r="353" spans="1:4" x14ac:dyDescent="0.2">
      <c r="A353" t="str">
        <f>IF('ENC to Device Cables'!F432&lt;&gt;"",'ENC to Device Cables'!F432,"")</f>
        <v/>
      </c>
      <c r="B353" s="2" t="str">
        <f>IF(A353&lt;&gt;"",'ENC to Device Cables'!G432,"")</f>
        <v/>
      </c>
      <c r="C353" t="str">
        <f>IF(A353&lt;&gt;"",'ENC to Device Cables'!H432,"")</f>
        <v/>
      </c>
      <c r="D353" s="1" t="str">
        <f>IF(A353&lt;&gt;"",'ENC to Device Cables'!I432,"")</f>
        <v/>
      </c>
    </row>
    <row r="354" spans="1:4" x14ac:dyDescent="0.2">
      <c r="A354" t="str">
        <f>IF('ENC to Device Cables'!F433&lt;&gt;"",'ENC to Device Cables'!F433,"")</f>
        <v/>
      </c>
      <c r="B354" s="2" t="str">
        <f>IF(A354&lt;&gt;"",'ENC to Device Cables'!G433,"")</f>
        <v/>
      </c>
      <c r="C354" t="str">
        <f>IF(A354&lt;&gt;"",'ENC to Device Cables'!H433,"")</f>
        <v/>
      </c>
      <c r="D354" s="1" t="str">
        <f>IF(A354&lt;&gt;"",'ENC to Device Cables'!I433,"")</f>
        <v/>
      </c>
    </row>
    <row r="355" spans="1:4" x14ac:dyDescent="0.2">
      <c r="A355" t="str">
        <f>IF('ENC to Device Cables'!F434&lt;&gt;"",'ENC to Device Cables'!F434,"")</f>
        <v/>
      </c>
      <c r="B355" s="2" t="str">
        <f>IF(A355&lt;&gt;"",'ENC to Device Cables'!G434,"")</f>
        <v/>
      </c>
      <c r="C355" t="str">
        <f>IF(A355&lt;&gt;"",'ENC to Device Cables'!H434,"")</f>
        <v/>
      </c>
      <c r="D355" s="1" t="str">
        <f>IF(A355&lt;&gt;"",'ENC to Device Cables'!I434,"")</f>
        <v/>
      </c>
    </row>
    <row r="356" spans="1:4" x14ac:dyDescent="0.2">
      <c r="A356" t="str">
        <f>IF('ENC to Device Cables'!F435&lt;&gt;"",'ENC to Device Cables'!F435,"")</f>
        <v/>
      </c>
      <c r="B356" s="2" t="str">
        <f>IF(A356&lt;&gt;"",'ENC to Device Cables'!G435,"")</f>
        <v/>
      </c>
      <c r="C356" t="str">
        <f>IF(A356&lt;&gt;"",'ENC to Device Cables'!H435,"")</f>
        <v/>
      </c>
      <c r="D356" s="1" t="str">
        <f>IF(A356&lt;&gt;"",'ENC to Device Cables'!I435,"")</f>
        <v/>
      </c>
    </row>
    <row r="357" spans="1:4" x14ac:dyDescent="0.2">
      <c r="A357" t="str">
        <f>IF('ENC to Device Cables'!F436&lt;&gt;"",'ENC to Device Cables'!F436,"")</f>
        <v/>
      </c>
      <c r="B357" s="2" t="str">
        <f>IF(A357&lt;&gt;"",'ENC to Device Cables'!G436,"")</f>
        <v/>
      </c>
      <c r="C357" t="str">
        <f>IF(A357&lt;&gt;"",'ENC to Device Cables'!H436,"")</f>
        <v/>
      </c>
      <c r="D357" s="1" t="str">
        <f>IF(A357&lt;&gt;"",'ENC to Device Cables'!I436,"")</f>
        <v/>
      </c>
    </row>
    <row r="358" spans="1:4" x14ac:dyDescent="0.2">
      <c r="A358" t="str">
        <f>IF('ENC to Device Cables'!F437&lt;&gt;"",'ENC to Device Cables'!F437,"")</f>
        <v/>
      </c>
      <c r="B358" s="2" t="str">
        <f>IF(A358&lt;&gt;"",'ENC to Device Cables'!G437,"")</f>
        <v/>
      </c>
      <c r="C358" t="str">
        <f>IF(A358&lt;&gt;"",'ENC to Device Cables'!H437,"")</f>
        <v/>
      </c>
      <c r="D358" s="1" t="str">
        <f>IF(A358&lt;&gt;"",'ENC to Device Cables'!I437,"")</f>
        <v/>
      </c>
    </row>
    <row r="359" spans="1:4" x14ac:dyDescent="0.2">
      <c r="A359" t="str">
        <f>IF('ENC to Device Cables'!F438&lt;&gt;"",'ENC to Device Cables'!F438,"")</f>
        <v/>
      </c>
      <c r="B359" s="2" t="str">
        <f>IF(A359&lt;&gt;"",'ENC to Device Cables'!G438,"")</f>
        <v/>
      </c>
      <c r="C359" t="str">
        <f>IF(A359&lt;&gt;"",'ENC to Device Cables'!H438,"")</f>
        <v/>
      </c>
      <c r="D359" s="1" t="str">
        <f>IF(A359&lt;&gt;"",'ENC to Device Cables'!I438,"")</f>
        <v/>
      </c>
    </row>
    <row r="360" spans="1:4" x14ac:dyDescent="0.2">
      <c r="A360" t="str">
        <f>IF('ENC to Device Cables'!F439&lt;&gt;"",'ENC to Device Cables'!F439,"")</f>
        <v/>
      </c>
      <c r="B360" s="2" t="str">
        <f>IF(A360&lt;&gt;"",'ENC to Device Cables'!G439,"")</f>
        <v/>
      </c>
      <c r="C360" t="str">
        <f>IF(A360&lt;&gt;"",'ENC to Device Cables'!H439,"")</f>
        <v/>
      </c>
      <c r="D360" s="1" t="str">
        <f>IF(A360&lt;&gt;"",'ENC to Device Cables'!I439,"")</f>
        <v/>
      </c>
    </row>
    <row r="361" spans="1:4" x14ac:dyDescent="0.2">
      <c r="A361" t="str">
        <f>IF('ENC to Device Cables'!F440&lt;&gt;"",'ENC to Device Cables'!F440,"")</f>
        <v/>
      </c>
      <c r="B361" s="2" t="str">
        <f>IF(A361&lt;&gt;"",'ENC to Device Cables'!G440,"")</f>
        <v/>
      </c>
      <c r="C361" t="str">
        <f>IF(A361&lt;&gt;"",'ENC to Device Cables'!H440,"")</f>
        <v/>
      </c>
      <c r="D361" s="1" t="str">
        <f>IF(A361&lt;&gt;"",'ENC to Device Cables'!I440,"")</f>
        <v/>
      </c>
    </row>
    <row r="362" spans="1:4" x14ac:dyDescent="0.2">
      <c r="A362" t="str">
        <f>IF('ENC to Device Cables'!F441&lt;&gt;"",'ENC to Device Cables'!F441,"")</f>
        <v/>
      </c>
      <c r="B362" s="2" t="str">
        <f>IF(A362&lt;&gt;"",'ENC to Device Cables'!G441,"")</f>
        <v/>
      </c>
      <c r="C362" t="str">
        <f>IF(A362&lt;&gt;"",'ENC to Device Cables'!H441,"")</f>
        <v/>
      </c>
      <c r="D362" s="1" t="str">
        <f>IF(A362&lt;&gt;"",'ENC to Device Cables'!I441,"")</f>
        <v/>
      </c>
    </row>
    <row r="363" spans="1:4" x14ac:dyDescent="0.2">
      <c r="A363" t="str">
        <f>IF('ENC to Device Cables'!F442&lt;&gt;"",'ENC to Device Cables'!F442,"")</f>
        <v/>
      </c>
      <c r="B363" s="2" t="str">
        <f>IF(A363&lt;&gt;"",'ENC to Device Cables'!G442,"")</f>
        <v/>
      </c>
      <c r="C363" t="str">
        <f>IF(A363&lt;&gt;"",'ENC to Device Cables'!H442,"")</f>
        <v/>
      </c>
      <c r="D363" s="1" t="str">
        <f>IF(A363&lt;&gt;"",'ENC to Device Cables'!I442,"")</f>
        <v/>
      </c>
    </row>
    <row r="364" spans="1:4" x14ac:dyDescent="0.2">
      <c r="A364" t="str">
        <f>IF('ENC to Device Cables'!F443&lt;&gt;"",'ENC to Device Cables'!F443,"")</f>
        <v/>
      </c>
      <c r="B364" s="2" t="str">
        <f>IF(A364&lt;&gt;"",'ENC to Device Cables'!G443,"")</f>
        <v/>
      </c>
      <c r="C364" t="str">
        <f>IF(A364&lt;&gt;"",'ENC to Device Cables'!H443,"")</f>
        <v/>
      </c>
      <c r="D364" s="1" t="str">
        <f>IF(A364&lt;&gt;"",'ENC to Device Cables'!I443,"")</f>
        <v/>
      </c>
    </row>
    <row r="365" spans="1:4" x14ac:dyDescent="0.2">
      <c r="A365" t="str">
        <f>IF('ENC to Device Cables'!F444&lt;&gt;"",'ENC to Device Cables'!F444,"")</f>
        <v/>
      </c>
      <c r="B365" s="2" t="str">
        <f>IF(A365&lt;&gt;"",'ENC to Device Cables'!G444,"")</f>
        <v/>
      </c>
      <c r="C365" t="str">
        <f>IF(A365&lt;&gt;"",'ENC to Device Cables'!H444,"")</f>
        <v/>
      </c>
      <c r="D365" s="1" t="str">
        <f>IF(A365&lt;&gt;"",'ENC to Device Cables'!I444,"")</f>
        <v/>
      </c>
    </row>
    <row r="366" spans="1:4" x14ac:dyDescent="0.2">
      <c r="A366" t="str">
        <f>IF('ENC to Device Cables'!F445&lt;&gt;"",'ENC to Device Cables'!F445,"")</f>
        <v/>
      </c>
      <c r="B366" s="2" t="str">
        <f>IF(A366&lt;&gt;"",'ENC to Device Cables'!G445,"")</f>
        <v/>
      </c>
      <c r="C366" t="str">
        <f>IF(A366&lt;&gt;"",'ENC to Device Cables'!H445,"")</f>
        <v/>
      </c>
      <c r="D366" s="1" t="str">
        <f>IF(A366&lt;&gt;"",'ENC to Device Cables'!I445,"")</f>
        <v/>
      </c>
    </row>
    <row r="367" spans="1:4" x14ac:dyDescent="0.2">
      <c r="A367" t="str">
        <f>IF('ENC to Device Cables'!F446&lt;&gt;"",'ENC to Device Cables'!F446,"")</f>
        <v/>
      </c>
      <c r="B367" s="2" t="str">
        <f>IF(A367&lt;&gt;"",'ENC to Device Cables'!G446,"")</f>
        <v/>
      </c>
      <c r="C367" t="str">
        <f>IF(A367&lt;&gt;"",'ENC to Device Cables'!H446,"")</f>
        <v/>
      </c>
      <c r="D367" s="1" t="str">
        <f>IF(A367&lt;&gt;"",'ENC to Device Cables'!I446,"")</f>
        <v/>
      </c>
    </row>
    <row r="368" spans="1:4" x14ac:dyDescent="0.2">
      <c r="A368" t="str">
        <f>IF('ENC to Device Cables'!F447&lt;&gt;"",'ENC to Device Cables'!F447,"")</f>
        <v/>
      </c>
      <c r="B368" s="2" t="str">
        <f>IF(A368&lt;&gt;"",'ENC to Device Cables'!G447,"")</f>
        <v/>
      </c>
      <c r="C368" t="str">
        <f>IF(A368&lt;&gt;"",'ENC to Device Cables'!H447,"")</f>
        <v/>
      </c>
      <c r="D368" s="1" t="str">
        <f>IF(A368&lt;&gt;"",'ENC to Device Cables'!I447,"")</f>
        <v/>
      </c>
    </row>
    <row r="369" spans="1:4" x14ac:dyDescent="0.2">
      <c r="A369" t="str">
        <f>IF('ENC to Device Cables'!F448&lt;&gt;"",'ENC to Device Cables'!F448,"")</f>
        <v/>
      </c>
      <c r="B369" s="2" t="str">
        <f>IF(A369&lt;&gt;"",'ENC to Device Cables'!G448,"")</f>
        <v/>
      </c>
      <c r="C369" t="str">
        <f>IF(A369&lt;&gt;"",'ENC to Device Cables'!H448,"")</f>
        <v/>
      </c>
      <c r="D369" s="1" t="str">
        <f>IF(A369&lt;&gt;"",'ENC to Device Cables'!I448,"")</f>
        <v/>
      </c>
    </row>
    <row r="370" spans="1:4" x14ac:dyDescent="0.2">
      <c r="A370" t="str">
        <f>IF('ENC to Device Cables'!F449&lt;&gt;"",'ENC to Device Cables'!F449,"")</f>
        <v/>
      </c>
      <c r="B370" s="2" t="str">
        <f>IF(A370&lt;&gt;"",'ENC to Device Cables'!G449,"")</f>
        <v/>
      </c>
      <c r="C370" t="str">
        <f>IF(A370&lt;&gt;"",'ENC to Device Cables'!H449,"")</f>
        <v/>
      </c>
      <c r="D370" s="1" t="str">
        <f>IF(A370&lt;&gt;"",'ENC to Device Cables'!I449,"")</f>
        <v/>
      </c>
    </row>
    <row r="371" spans="1:4" x14ac:dyDescent="0.2">
      <c r="A371" t="str">
        <f>IF('ENC to Device Cables'!F450&lt;&gt;"",'ENC to Device Cables'!F450,"")</f>
        <v/>
      </c>
      <c r="B371" s="2" t="str">
        <f>IF(A371&lt;&gt;"",'ENC to Device Cables'!G450,"")</f>
        <v/>
      </c>
      <c r="C371" t="str">
        <f>IF(A371&lt;&gt;"",'ENC to Device Cables'!H450,"")</f>
        <v/>
      </c>
      <c r="D371" s="1" t="str">
        <f>IF(A371&lt;&gt;"",'ENC to Device Cables'!I450,"")</f>
        <v/>
      </c>
    </row>
    <row r="372" spans="1:4" x14ac:dyDescent="0.2">
      <c r="A372" t="str">
        <f>IF('ENC to Device Cables'!F451&lt;&gt;"",'ENC to Device Cables'!F451,"")</f>
        <v/>
      </c>
      <c r="B372" s="2" t="str">
        <f>IF(A372&lt;&gt;"",'ENC to Device Cables'!G451,"")</f>
        <v/>
      </c>
      <c r="C372" t="str">
        <f>IF(A372&lt;&gt;"",'ENC to Device Cables'!H451,"")</f>
        <v/>
      </c>
      <c r="D372" s="1" t="str">
        <f>IF(A372&lt;&gt;"",'ENC to Device Cables'!I451,"")</f>
        <v/>
      </c>
    </row>
    <row r="373" spans="1:4" x14ac:dyDescent="0.2">
      <c r="A373" t="str">
        <f>IF('ENC to Device Cables'!F452&lt;&gt;"",'ENC to Device Cables'!F452,"")</f>
        <v/>
      </c>
      <c r="B373" s="2" t="str">
        <f>IF(A373&lt;&gt;"",'ENC to Device Cables'!G452,"")</f>
        <v/>
      </c>
      <c r="C373" t="str">
        <f>IF(A373&lt;&gt;"",'ENC to Device Cables'!H452,"")</f>
        <v/>
      </c>
      <c r="D373" s="1" t="str">
        <f>IF(A373&lt;&gt;"",'ENC to Device Cables'!I452,"")</f>
        <v/>
      </c>
    </row>
    <row r="374" spans="1:4" x14ac:dyDescent="0.2">
      <c r="A374" t="str">
        <f>IF('ENC to Device Cables'!F453&lt;&gt;"",'ENC to Device Cables'!F453,"")</f>
        <v/>
      </c>
      <c r="B374" s="2" t="str">
        <f>IF(A374&lt;&gt;"",'ENC to Device Cables'!G453,"")</f>
        <v/>
      </c>
      <c r="C374" t="str">
        <f>IF(A374&lt;&gt;"",'ENC to Device Cables'!H453,"")</f>
        <v/>
      </c>
      <c r="D374" s="1" t="str">
        <f>IF(A374&lt;&gt;"",'ENC to Device Cables'!I453,"")</f>
        <v/>
      </c>
    </row>
    <row r="375" spans="1:4" x14ac:dyDescent="0.2">
      <c r="A375" t="str">
        <f>IF('ENC to Device Cables'!F454&lt;&gt;"",'ENC to Device Cables'!F454,"")</f>
        <v/>
      </c>
      <c r="B375" s="2" t="str">
        <f>IF(A375&lt;&gt;"",'ENC to Device Cables'!G454,"")</f>
        <v/>
      </c>
      <c r="C375" t="str">
        <f>IF(A375&lt;&gt;"",'ENC to Device Cables'!H454,"")</f>
        <v/>
      </c>
      <c r="D375" s="1" t="str">
        <f>IF(A375&lt;&gt;"",'ENC to Device Cables'!I454,"")</f>
        <v/>
      </c>
    </row>
    <row r="376" spans="1:4" x14ac:dyDescent="0.2">
      <c r="A376" t="str">
        <f>IF('ENC to Device Cables'!F455&lt;&gt;"",'ENC to Device Cables'!F455,"")</f>
        <v/>
      </c>
      <c r="B376" s="2" t="str">
        <f>IF(A376&lt;&gt;"",'ENC to Device Cables'!G455,"")</f>
        <v/>
      </c>
      <c r="C376" t="str">
        <f>IF(A376&lt;&gt;"",'ENC to Device Cables'!H455,"")</f>
        <v/>
      </c>
      <c r="D376" s="1" t="str">
        <f>IF(A376&lt;&gt;"",'ENC to Device Cables'!I455,"")</f>
        <v/>
      </c>
    </row>
    <row r="377" spans="1:4" x14ac:dyDescent="0.2">
      <c r="A377" t="str">
        <f>IF('ENC to Device Cables'!F456&lt;&gt;"",'ENC to Device Cables'!F456,"")</f>
        <v/>
      </c>
      <c r="B377" s="2" t="str">
        <f>IF(A377&lt;&gt;"",'ENC to Device Cables'!G456,"")</f>
        <v/>
      </c>
      <c r="C377" t="str">
        <f>IF(A377&lt;&gt;"",'ENC to Device Cables'!H456,"")</f>
        <v/>
      </c>
      <c r="D377" s="1" t="str">
        <f>IF(A377&lt;&gt;"",'ENC to Device Cables'!I456,"")</f>
        <v/>
      </c>
    </row>
    <row r="378" spans="1:4" x14ac:dyDescent="0.2">
      <c r="A378" t="str">
        <f>IF('ENC to Device Cables'!F457&lt;&gt;"",'ENC to Device Cables'!F457,"")</f>
        <v/>
      </c>
      <c r="B378" s="2" t="str">
        <f>IF(A378&lt;&gt;"",'ENC to Device Cables'!G457,"")</f>
        <v/>
      </c>
      <c r="C378" t="str">
        <f>IF(A378&lt;&gt;"",'ENC to Device Cables'!H457,"")</f>
        <v/>
      </c>
      <c r="D378" s="1" t="str">
        <f>IF(A378&lt;&gt;"",'ENC to Device Cables'!I457,"")</f>
        <v/>
      </c>
    </row>
    <row r="379" spans="1:4" x14ac:dyDescent="0.2">
      <c r="A379" t="str">
        <f>IF('ENC to Device Cables'!F458&lt;&gt;"",'ENC to Device Cables'!F458,"")</f>
        <v/>
      </c>
      <c r="B379" s="2" t="str">
        <f>IF(A379&lt;&gt;"",'ENC to Device Cables'!G458,"")</f>
        <v/>
      </c>
      <c r="C379" t="str">
        <f>IF(A379&lt;&gt;"",'ENC to Device Cables'!H458,"")</f>
        <v/>
      </c>
      <c r="D379" s="1" t="str">
        <f>IF(A379&lt;&gt;"",'ENC to Device Cables'!I458,"")</f>
        <v/>
      </c>
    </row>
    <row r="380" spans="1:4" x14ac:dyDescent="0.2">
      <c r="A380" t="str">
        <f>IF('ENC to Device Cables'!F459&lt;&gt;"",'ENC to Device Cables'!F459,"")</f>
        <v/>
      </c>
      <c r="B380" s="2" t="str">
        <f>IF(A380&lt;&gt;"",'ENC to Device Cables'!G459,"")</f>
        <v/>
      </c>
      <c r="C380" t="str">
        <f>IF(A380&lt;&gt;"",'ENC to Device Cables'!H459,"")</f>
        <v/>
      </c>
      <c r="D380" s="1" t="str">
        <f>IF(A380&lt;&gt;"",'ENC to Device Cables'!I459,"")</f>
        <v/>
      </c>
    </row>
    <row r="381" spans="1:4" x14ac:dyDescent="0.2">
      <c r="A381" t="str">
        <f>IF('ENC to Device Cables'!F460&lt;&gt;"",'ENC to Device Cables'!F460,"")</f>
        <v/>
      </c>
      <c r="B381" s="2" t="str">
        <f>IF(A381&lt;&gt;"",'ENC to Device Cables'!G460,"")</f>
        <v/>
      </c>
      <c r="C381" t="str">
        <f>IF(A381&lt;&gt;"",'ENC to Device Cables'!H460,"")</f>
        <v/>
      </c>
      <c r="D381" s="1" t="str">
        <f>IF(A381&lt;&gt;"",'ENC to Device Cables'!I460,"")</f>
        <v/>
      </c>
    </row>
    <row r="382" spans="1:4" x14ac:dyDescent="0.2">
      <c r="A382" t="str">
        <f>IF('ENC to Device Cables'!F461&lt;&gt;"",'ENC to Device Cables'!F461,"")</f>
        <v/>
      </c>
      <c r="B382" s="2" t="str">
        <f>IF(A382&lt;&gt;"",'ENC to Device Cables'!G461,"")</f>
        <v/>
      </c>
      <c r="C382" t="str">
        <f>IF(A382&lt;&gt;"",'ENC to Device Cables'!H461,"")</f>
        <v/>
      </c>
      <c r="D382" s="1" t="str">
        <f>IF(A382&lt;&gt;"",'ENC to Device Cables'!I461,"")</f>
        <v/>
      </c>
    </row>
    <row r="383" spans="1:4" x14ac:dyDescent="0.2">
      <c r="A383" t="str">
        <f>IF('ENC to Device Cables'!F462&lt;&gt;"",'ENC to Device Cables'!F462,"")</f>
        <v/>
      </c>
      <c r="B383" s="2" t="str">
        <f>IF(A383&lt;&gt;"",'ENC to Device Cables'!G462,"")</f>
        <v/>
      </c>
      <c r="C383" t="str">
        <f>IF(A383&lt;&gt;"",'ENC to Device Cables'!H462,"")</f>
        <v/>
      </c>
      <c r="D383" s="1" t="str">
        <f>IF(A383&lt;&gt;"",'ENC to Device Cables'!I462,"")</f>
        <v/>
      </c>
    </row>
    <row r="384" spans="1:4" x14ac:dyDescent="0.2">
      <c r="A384" t="str">
        <f>IF('ENC to Device Cables'!F463&lt;&gt;"",'ENC to Device Cables'!F463,"")</f>
        <v/>
      </c>
      <c r="B384" s="2" t="str">
        <f>IF(A384&lt;&gt;"",'ENC to Device Cables'!G463,"")</f>
        <v/>
      </c>
      <c r="C384" t="str">
        <f>IF(A384&lt;&gt;"",'ENC to Device Cables'!H463,"")</f>
        <v/>
      </c>
      <c r="D384" s="1" t="str">
        <f>IF(A384&lt;&gt;"",'ENC to Device Cables'!I463,"")</f>
        <v/>
      </c>
    </row>
    <row r="385" spans="1:4" x14ac:dyDescent="0.2">
      <c r="A385" t="str">
        <f>IF('ENC to Device Cables'!F464&lt;&gt;"",'ENC to Device Cables'!F464,"")</f>
        <v/>
      </c>
      <c r="B385" s="2" t="str">
        <f>IF(A385&lt;&gt;"",'ENC to Device Cables'!G464,"")</f>
        <v/>
      </c>
      <c r="C385" t="str">
        <f>IF(A385&lt;&gt;"",'ENC to Device Cables'!H464,"")</f>
        <v/>
      </c>
      <c r="D385" s="1" t="str">
        <f>IF(A385&lt;&gt;"",'ENC to Device Cables'!I464,"")</f>
        <v/>
      </c>
    </row>
    <row r="386" spans="1:4" x14ac:dyDescent="0.2">
      <c r="A386" t="str">
        <f>IF('ENC to Device Cables'!F465&lt;&gt;"",'ENC to Device Cables'!F465,"")</f>
        <v/>
      </c>
      <c r="B386" s="2" t="str">
        <f>IF(A386&lt;&gt;"",'ENC to Device Cables'!G465,"")</f>
        <v/>
      </c>
      <c r="C386" t="str">
        <f>IF(A386&lt;&gt;"",'ENC to Device Cables'!H465,"")</f>
        <v/>
      </c>
      <c r="D386" s="1" t="str">
        <f>IF(A386&lt;&gt;"",'ENC to Device Cables'!I465,"")</f>
        <v/>
      </c>
    </row>
    <row r="387" spans="1:4" x14ac:dyDescent="0.2">
      <c r="A387" t="str">
        <f>IF('ENC to Device Cables'!F466&lt;&gt;"",'ENC to Device Cables'!F466,"")</f>
        <v/>
      </c>
      <c r="B387" s="2" t="str">
        <f>IF(A387&lt;&gt;"",'ENC to Device Cables'!G466,"")</f>
        <v/>
      </c>
      <c r="C387" t="str">
        <f>IF(A387&lt;&gt;"",'ENC to Device Cables'!H466,"")</f>
        <v/>
      </c>
      <c r="D387" s="1" t="str">
        <f>IF(A387&lt;&gt;"",'ENC to Device Cables'!I466,"")</f>
        <v/>
      </c>
    </row>
    <row r="388" spans="1:4" x14ac:dyDescent="0.2">
      <c r="A388" t="str">
        <f>IF('ENC to Device Cables'!F467&lt;&gt;"",'ENC to Device Cables'!F467,"")</f>
        <v/>
      </c>
      <c r="B388" s="2" t="str">
        <f>IF(A388&lt;&gt;"",'ENC to Device Cables'!G467,"")</f>
        <v/>
      </c>
      <c r="C388" t="str">
        <f>IF(A388&lt;&gt;"",'ENC to Device Cables'!H467,"")</f>
        <v/>
      </c>
      <c r="D388" s="1" t="str">
        <f>IF(A388&lt;&gt;"",'ENC to Device Cables'!I467,"")</f>
        <v/>
      </c>
    </row>
    <row r="389" spans="1:4" x14ac:dyDescent="0.2">
      <c r="A389" t="str">
        <f>IF('ENC to Device Cables'!F468&lt;&gt;"",'ENC to Device Cables'!F468,"")</f>
        <v/>
      </c>
      <c r="B389" s="2" t="str">
        <f>IF(A389&lt;&gt;"",'ENC to Device Cables'!G468,"")</f>
        <v/>
      </c>
      <c r="C389" t="str">
        <f>IF(A389&lt;&gt;"",'ENC to Device Cables'!H468,"")</f>
        <v/>
      </c>
      <c r="D389" s="1" t="str">
        <f>IF(A389&lt;&gt;"",'ENC to Device Cables'!I468,"")</f>
        <v/>
      </c>
    </row>
    <row r="390" spans="1:4" x14ac:dyDescent="0.2">
      <c r="A390" t="str">
        <f>IF('ENC to Device Cables'!F469&lt;&gt;"",'ENC to Device Cables'!F469,"")</f>
        <v/>
      </c>
      <c r="B390" s="2" t="str">
        <f>IF(A390&lt;&gt;"",'ENC to Device Cables'!G469,"")</f>
        <v/>
      </c>
      <c r="C390" t="str">
        <f>IF(A390&lt;&gt;"",'ENC to Device Cables'!H469,"")</f>
        <v/>
      </c>
      <c r="D390" s="1" t="str">
        <f>IF(A390&lt;&gt;"",'ENC to Device Cables'!I469,"")</f>
        <v/>
      </c>
    </row>
    <row r="391" spans="1:4" x14ac:dyDescent="0.2">
      <c r="A391" t="str">
        <f>IF('ENC to Device Cables'!F470&lt;&gt;"",'ENC to Device Cables'!F470,"")</f>
        <v/>
      </c>
      <c r="B391" s="2" t="str">
        <f>IF(A391&lt;&gt;"",'ENC to Device Cables'!G470,"")</f>
        <v/>
      </c>
      <c r="C391" t="str">
        <f>IF(A391&lt;&gt;"",'ENC to Device Cables'!H470,"")</f>
        <v/>
      </c>
      <c r="D391" s="1" t="str">
        <f>IF(A391&lt;&gt;"",'ENC to Device Cables'!I470,"")</f>
        <v/>
      </c>
    </row>
    <row r="392" spans="1:4" x14ac:dyDescent="0.2">
      <c r="A392" t="str">
        <f>IF('ENC to Device Cables'!F471&lt;&gt;"",'ENC to Device Cables'!F471,"")</f>
        <v/>
      </c>
      <c r="B392" s="2" t="str">
        <f>IF(A392&lt;&gt;"",'ENC to Device Cables'!G471,"")</f>
        <v/>
      </c>
      <c r="C392" t="str">
        <f>IF(A392&lt;&gt;"",'ENC to Device Cables'!H471,"")</f>
        <v/>
      </c>
      <c r="D392" s="1" t="str">
        <f>IF(A392&lt;&gt;"",'ENC to Device Cables'!I471,"")</f>
        <v/>
      </c>
    </row>
    <row r="393" spans="1:4" x14ac:dyDescent="0.2">
      <c r="A393" t="str">
        <f>IF('ENC to Device Cables'!F472&lt;&gt;"",'ENC to Device Cables'!F472,"")</f>
        <v/>
      </c>
      <c r="B393" s="2" t="str">
        <f>IF(A393&lt;&gt;"",'ENC to Device Cables'!G472,"")</f>
        <v/>
      </c>
      <c r="C393" t="str">
        <f>IF(A393&lt;&gt;"",'ENC to Device Cables'!H472,"")</f>
        <v/>
      </c>
      <c r="D393" s="1" t="str">
        <f>IF(A393&lt;&gt;"",'ENC to Device Cables'!I472,"")</f>
        <v/>
      </c>
    </row>
    <row r="394" spans="1:4" x14ac:dyDescent="0.2">
      <c r="A394" t="str">
        <f>IF('ENC to Device Cables'!F473&lt;&gt;"",'ENC to Device Cables'!F473,"")</f>
        <v/>
      </c>
      <c r="B394" s="2" t="str">
        <f>IF(A394&lt;&gt;"",'ENC to Device Cables'!G473,"")</f>
        <v/>
      </c>
      <c r="C394" t="str">
        <f>IF(A394&lt;&gt;"",'ENC to Device Cables'!H473,"")</f>
        <v/>
      </c>
      <c r="D394" s="1" t="str">
        <f>IF(A394&lt;&gt;"",'ENC to Device Cables'!I473,"")</f>
        <v/>
      </c>
    </row>
    <row r="395" spans="1:4" x14ac:dyDescent="0.2">
      <c r="A395" t="str">
        <f>IF('ENC to Device Cables'!F474&lt;&gt;"",'ENC to Device Cables'!F474,"")</f>
        <v/>
      </c>
      <c r="B395" s="2" t="str">
        <f>IF(A395&lt;&gt;"",'ENC to Device Cables'!G474,"")</f>
        <v/>
      </c>
      <c r="C395" t="str">
        <f>IF(A395&lt;&gt;"",'ENC to Device Cables'!H474,"")</f>
        <v/>
      </c>
      <c r="D395" s="1" t="str">
        <f>IF(A395&lt;&gt;"",'ENC to Device Cables'!I474,"")</f>
        <v/>
      </c>
    </row>
    <row r="396" spans="1:4" x14ac:dyDescent="0.2">
      <c r="A396" t="str">
        <f>IF('ENC to Device Cables'!F475&lt;&gt;"",'ENC to Device Cables'!F475,"")</f>
        <v/>
      </c>
      <c r="B396" s="2" t="str">
        <f>IF(A396&lt;&gt;"",'ENC to Device Cables'!G475,"")</f>
        <v/>
      </c>
      <c r="C396" t="str">
        <f>IF(A396&lt;&gt;"",'ENC to Device Cables'!H475,"")</f>
        <v/>
      </c>
      <c r="D396" s="1" t="str">
        <f>IF(A396&lt;&gt;"",'ENC to Device Cables'!I475,"")</f>
        <v/>
      </c>
    </row>
    <row r="397" spans="1:4" x14ac:dyDescent="0.2">
      <c r="A397" t="str">
        <f>IF('ENC to Device Cables'!F476&lt;&gt;"",'ENC to Device Cables'!F476,"")</f>
        <v/>
      </c>
      <c r="B397" s="2" t="str">
        <f>IF(A397&lt;&gt;"",'ENC to Device Cables'!G476,"")</f>
        <v/>
      </c>
      <c r="C397" t="str">
        <f>IF(A397&lt;&gt;"",'ENC to Device Cables'!H476,"")</f>
        <v/>
      </c>
      <c r="D397" s="1" t="str">
        <f>IF(A397&lt;&gt;"",'ENC to Device Cables'!I476,"")</f>
        <v/>
      </c>
    </row>
    <row r="398" spans="1:4" x14ac:dyDescent="0.2">
      <c r="A398" t="str">
        <f>IF('ENC to Device Cables'!F477&lt;&gt;"",'ENC to Device Cables'!F477,"")</f>
        <v/>
      </c>
      <c r="B398" s="2" t="str">
        <f>IF(A398&lt;&gt;"",'ENC to Device Cables'!G477,"")</f>
        <v/>
      </c>
      <c r="C398" t="str">
        <f>IF(A398&lt;&gt;"",'ENC to Device Cables'!H477,"")</f>
        <v/>
      </c>
      <c r="D398" s="1" t="str">
        <f>IF(A398&lt;&gt;"",'ENC to Device Cables'!I477,"")</f>
        <v/>
      </c>
    </row>
    <row r="399" spans="1:4" x14ac:dyDescent="0.2">
      <c r="A399" t="str">
        <f>IF('ENC to Device Cables'!F478&lt;&gt;"",'ENC to Device Cables'!F478,"")</f>
        <v/>
      </c>
      <c r="B399" s="2" t="str">
        <f>IF(A399&lt;&gt;"",'ENC to Device Cables'!G478,"")</f>
        <v/>
      </c>
      <c r="C399" t="str">
        <f>IF(A399&lt;&gt;"",'ENC to Device Cables'!H478,"")</f>
        <v/>
      </c>
      <c r="D399" s="1" t="str">
        <f>IF(A399&lt;&gt;"",'ENC to Device Cables'!I478,"")</f>
        <v/>
      </c>
    </row>
    <row r="400" spans="1:4" x14ac:dyDescent="0.2">
      <c r="A400" t="str">
        <f>IF('ENC to Device Cables'!F479&lt;&gt;"",'ENC to Device Cables'!F479,"")</f>
        <v/>
      </c>
      <c r="B400" s="2" t="str">
        <f>IF(A400&lt;&gt;"",'ENC to Device Cables'!G479,"")</f>
        <v/>
      </c>
      <c r="C400" t="str">
        <f>IF(A400&lt;&gt;"",'ENC to Device Cables'!H479,"")</f>
        <v/>
      </c>
      <c r="D400" s="1" t="str">
        <f>IF(A400&lt;&gt;"",'ENC to Device Cables'!I479,"")</f>
        <v/>
      </c>
    </row>
    <row r="401" spans="1:4" x14ac:dyDescent="0.2">
      <c r="A401" t="str">
        <f>IF('ENC to Device Cables'!F480&lt;&gt;"",'ENC to Device Cables'!F480,"")</f>
        <v/>
      </c>
      <c r="B401" s="2" t="str">
        <f>IF(A401&lt;&gt;"",'ENC to Device Cables'!G480,"")</f>
        <v/>
      </c>
      <c r="C401" t="str">
        <f>IF(A401&lt;&gt;"",'ENC to Device Cables'!H480,"")</f>
        <v/>
      </c>
      <c r="D401" s="1" t="str">
        <f>IF(A401&lt;&gt;"",'ENC to Device Cables'!I480,"")</f>
        <v/>
      </c>
    </row>
    <row r="402" spans="1:4" x14ac:dyDescent="0.2">
      <c r="A402" t="str">
        <f>IF('ENC to Device Cables'!F481&lt;&gt;"",'ENC to Device Cables'!F481,"")</f>
        <v/>
      </c>
      <c r="B402" s="2" t="str">
        <f>IF(A402&lt;&gt;"",'ENC to Device Cables'!G481,"")</f>
        <v/>
      </c>
      <c r="C402" t="str">
        <f>IF(A402&lt;&gt;"",'ENC to Device Cables'!H481,"")</f>
        <v/>
      </c>
      <c r="D402" s="1" t="str">
        <f>IF(A402&lt;&gt;"",'ENC to Device Cables'!I481,"")</f>
        <v/>
      </c>
    </row>
    <row r="403" spans="1:4" x14ac:dyDescent="0.2">
      <c r="A403" t="str">
        <f>IF('ENC to Device Cables'!F482&lt;&gt;"",'ENC to Device Cables'!F482,"")</f>
        <v/>
      </c>
      <c r="B403" s="2" t="str">
        <f>IF(A403&lt;&gt;"",'ENC to Device Cables'!G482,"")</f>
        <v/>
      </c>
      <c r="C403" t="str">
        <f>IF(A403&lt;&gt;"",'ENC to Device Cables'!H482,"")</f>
        <v/>
      </c>
      <c r="D403" s="1" t="str">
        <f>IF(A403&lt;&gt;"",'ENC to Device Cables'!I482,"")</f>
        <v/>
      </c>
    </row>
    <row r="404" spans="1:4" x14ac:dyDescent="0.2">
      <c r="A404" t="str">
        <f>IF('ENC to Device Cables'!F483&lt;&gt;"",'ENC to Device Cables'!F483,"")</f>
        <v/>
      </c>
      <c r="B404" s="2" t="str">
        <f>IF(A404&lt;&gt;"",'ENC to Device Cables'!G483,"")</f>
        <v/>
      </c>
      <c r="C404" t="str">
        <f>IF(A404&lt;&gt;"",'ENC to Device Cables'!H483,"")</f>
        <v/>
      </c>
      <c r="D404" s="1" t="str">
        <f>IF(A404&lt;&gt;"",'ENC to Device Cables'!I483,"")</f>
        <v/>
      </c>
    </row>
    <row r="405" spans="1:4" x14ac:dyDescent="0.2">
      <c r="A405" t="str">
        <f>IF('ENC to Device Cables'!F484&lt;&gt;"",'ENC to Device Cables'!F484,"")</f>
        <v/>
      </c>
      <c r="B405" s="2" t="str">
        <f>IF(A405&lt;&gt;"",'ENC to Device Cables'!G484,"")</f>
        <v/>
      </c>
      <c r="C405" t="str">
        <f>IF(A405&lt;&gt;"",'ENC to Device Cables'!H484,"")</f>
        <v/>
      </c>
      <c r="D405" s="1" t="str">
        <f>IF(A405&lt;&gt;"",'ENC to Device Cables'!I484,"")</f>
        <v/>
      </c>
    </row>
    <row r="406" spans="1:4" x14ac:dyDescent="0.2">
      <c r="A406" t="str">
        <f>IF('ENC to Device Cables'!F485&lt;&gt;"",'ENC to Device Cables'!F485,"")</f>
        <v/>
      </c>
      <c r="B406" s="2" t="str">
        <f>IF(A406&lt;&gt;"",'ENC to Device Cables'!G485,"")</f>
        <v/>
      </c>
      <c r="C406" t="str">
        <f>IF(A406&lt;&gt;"",'ENC to Device Cables'!H485,"")</f>
        <v/>
      </c>
      <c r="D406" s="1" t="str">
        <f>IF(A406&lt;&gt;"",'ENC to Device Cables'!I485,"")</f>
        <v/>
      </c>
    </row>
    <row r="407" spans="1:4" x14ac:dyDescent="0.2">
      <c r="A407" t="str">
        <f>IF('ENC to Device Cables'!F486&lt;&gt;"",'ENC to Device Cables'!F486,"")</f>
        <v/>
      </c>
      <c r="B407" s="2" t="str">
        <f>IF(A407&lt;&gt;"",'ENC to Device Cables'!G486,"")</f>
        <v/>
      </c>
      <c r="C407" t="str">
        <f>IF(A407&lt;&gt;"",'ENC to Device Cables'!H486,"")</f>
        <v/>
      </c>
      <c r="D407" s="1" t="str">
        <f>IF(A407&lt;&gt;"",'ENC to Device Cables'!I486,"")</f>
        <v/>
      </c>
    </row>
    <row r="408" spans="1:4" x14ac:dyDescent="0.2">
      <c r="A408" t="str">
        <f>IF('ENC to Device Cables'!F487&lt;&gt;"",'ENC to Device Cables'!F487,"")</f>
        <v/>
      </c>
      <c r="B408" s="2" t="str">
        <f>IF(A408&lt;&gt;"",'ENC to Device Cables'!G487,"")</f>
        <v/>
      </c>
      <c r="C408" t="str">
        <f>IF(A408&lt;&gt;"",'ENC to Device Cables'!H487,"")</f>
        <v/>
      </c>
      <c r="D408" s="1" t="str">
        <f>IF(A408&lt;&gt;"",'ENC to Device Cables'!I487,"")</f>
        <v/>
      </c>
    </row>
    <row r="409" spans="1:4" x14ac:dyDescent="0.2">
      <c r="A409" t="str">
        <f>IF('ENC to Device Cables'!F488&lt;&gt;"",'ENC to Device Cables'!F488,"")</f>
        <v/>
      </c>
      <c r="B409" s="2" t="str">
        <f>IF(A409&lt;&gt;"",'ENC to Device Cables'!G488,"")</f>
        <v/>
      </c>
      <c r="C409" t="str">
        <f>IF(A409&lt;&gt;"",'ENC to Device Cables'!H488,"")</f>
        <v/>
      </c>
      <c r="D409" s="1" t="str">
        <f>IF(A409&lt;&gt;"",'ENC to Device Cables'!I488,"")</f>
        <v/>
      </c>
    </row>
    <row r="410" spans="1:4" x14ac:dyDescent="0.2">
      <c r="A410" t="str">
        <f>IF('ENC to Device Cables'!F489&lt;&gt;"",'ENC to Device Cables'!F489,"")</f>
        <v/>
      </c>
      <c r="B410" s="2" t="str">
        <f>IF(A410&lt;&gt;"",'ENC to Device Cables'!G489,"")</f>
        <v/>
      </c>
      <c r="C410" t="str">
        <f>IF(A410&lt;&gt;"",'ENC to Device Cables'!H489,"")</f>
        <v/>
      </c>
      <c r="D410" s="1" t="str">
        <f>IF(A410&lt;&gt;"",'ENC to Device Cables'!I489,"")</f>
        <v/>
      </c>
    </row>
    <row r="411" spans="1:4" x14ac:dyDescent="0.2">
      <c r="A411" t="str">
        <f>IF('ENC to Device Cables'!F490&lt;&gt;"",'ENC to Device Cables'!F490,"")</f>
        <v/>
      </c>
      <c r="B411" s="2" t="str">
        <f>IF(A411&lt;&gt;"",'ENC to Device Cables'!G490,"")</f>
        <v/>
      </c>
      <c r="C411" t="str">
        <f>IF(A411&lt;&gt;"",'ENC to Device Cables'!H490,"")</f>
        <v/>
      </c>
      <c r="D411" s="1" t="str">
        <f>IF(A411&lt;&gt;"",'ENC to Device Cables'!I490,"")</f>
        <v/>
      </c>
    </row>
    <row r="412" spans="1:4" x14ac:dyDescent="0.2">
      <c r="A412" t="str">
        <f>IF('ENC to Device Cables'!F491&lt;&gt;"",'ENC to Device Cables'!F491,"")</f>
        <v/>
      </c>
      <c r="B412" s="2" t="str">
        <f>IF(A412&lt;&gt;"",'ENC to Device Cables'!G491,"")</f>
        <v/>
      </c>
      <c r="C412" t="str">
        <f>IF(A412&lt;&gt;"",'ENC to Device Cables'!H491,"")</f>
        <v/>
      </c>
      <c r="D412" s="1" t="str">
        <f>IF(A412&lt;&gt;"",'ENC to Device Cables'!I491,"")</f>
        <v/>
      </c>
    </row>
    <row r="413" spans="1:4" x14ac:dyDescent="0.2">
      <c r="A413" t="str">
        <f>IF('ENC to Device Cables'!F492&lt;&gt;"",'ENC to Device Cables'!F492,"")</f>
        <v/>
      </c>
      <c r="B413" s="2" t="str">
        <f>IF(A413&lt;&gt;"",'ENC to Device Cables'!G492,"")</f>
        <v/>
      </c>
      <c r="C413" t="str">
        <f>IF(A413&lt;&gt;"",'ENC to Device Cables'!H492,"")</f>
        <v/>
      </c>
      <c r="D413" s="1" t="str">
        <f>IF(A413&lt;&gt;"",'ENC to Device Cables'!I492,"")</f>
        <v/>
      </c>
    </row>
    <row r="414" spans="1:4" x14ac:dyDescent="0.2">
      <c r="A414" t="str">
        <f>IF('ENC to Device Cables'!F493&lt;&gt;"",'ENC to Device Cables'!F493,"")</f>
        <v/>
      </c>
      <c r="B414" s="2" t="str">
        <f>IF(A414&lt;&gt;"",'ENC to Device Cables'!G493,"")</f>
        <v/>
      </c>
      <c r="C414" t="str">
        <f>IF(A414&lt;&gt;"",'ENC to Device Cables'!H493,"")</f>
        <v/>
      </c>
      <c r="D414" s="1" t="str">
        <f>IF(A414&lt;&gt;"",'ENC to Device Cables'!I493,"")</f>
        <v/>
      </c>
    </row>
    <row r="415" spans="1:4" x14ac:dyDescent="0.2">
      <c r="A415" t="str">
        <f>IF('ENC to Device Cables'!F494&lt;&gt;"",'ENC to Device Cables'!F494,"")</f>
        <v/>
      </c>
      <c r="B415" s="2" t="str">
        <f>IF(A415&lt;&gt;"",'ENC to Device Cables'!G494,"")</f>
        <v/>
      </c>
      <c r="C415" t="str">
        <f>IF(A415&lt;&gt;"",'ENC to Device Cables'!H494,"")</f>
        <v/>
      </c>
      <c r="D415" s="1" t="str">
        <f>IF(A415&lt;&gt;"",'ENC to Device Cables'!I494,"")</f>
        <v/>
      </c>
    </row>
    <row r="416" spans="1:4" x14ac:dyDescent="0.2">
      <c r="A416" t="str">
        <f>IF('ENC to Device Cables'!F495&lt;&gt;"",'ENC to Device Cables'!F495,"")</f>
        <v/>
      </c>
      <c r="B416" s="2" t="str">
        <f>IF(A416&lt;&gt;"",'ENC to Device Cables'!G495,"")</f>
        <v/>
      </c>
      <c r="C416" t="str">
        <f>IF(A416&lt;&gt;"",'ENC to Device Cables'!H495,"")</f>
        <v/>
      </c>
      <c r="D416" s="1" t="str">
        <f>IF(A416&lt;&gt;"",'ENC to Device Cables'!I495,"")</f>
        <v/>
      </c>
    </row>
    <row r="417" spans="1:4" x14ac:dyDescent="0.2">
      <c r="A417" t="str">
        <f>IF('ENC to Device Cables'!F496&lt;&gt;"",'ENC to Device Cables'!F496,"")</f>
        <v/>
      </c>
      <c r="B417" s="2" t="str">
        <f>IF(A417&lt;&gt;"",'ENC to Device Cables'!G496,"")</f>
        <v/>
      </c>
      <c r="C417" t="str">
        <f>IF(A417&lt;&gt;"",'ENC to Device Cables'!H496,"")</f>
        <v/>
      </c>
      <c r="D417" s="1" t="str">
        <f>IF(A417&lt;&gt;"",'ENC to Device Cables'!I496,"")</f>
        <v/>
      </c>
    </row>
    <row r="418" spans="1:4" x14ac:dyDescent="0.2">
      <c r="A418" t="str">
        <f>IF('ENC to Device Cables'!F497&lt;&gt;"",'ENC to Device Cables'!F497,"")</f>
        <v/>
      </c>
      <c r="B418" s="2" t="str">
        <f>IF(A418&lt;&gt;"",'ENC to Device Cables'!G497,"")</f>
        <v/>
      </c>
      <c r="C418" t="str">
        <f>IF(A418&lt;&gt;"",'ENC to Device Cables'!H497,"")</f>
        <v/>
      </c>
      <c r="D418" s="1" t="str">
        <f>IF(A418&lt;&gt;"",'ENC to Device Cables'!I497,"")</f>
        <v/>
      </c>
    </row>
    <row r="419" spans="1:4" x14ac:dyDescent="0.2">
      <c r="A419" t="str">
        <f>IF('ENC to Device Cables'!F498&lt;&gt;"",'ENC to Device Cables'!F498,"")</f>
        <v/>
      </c>
      <c r="B419" s="2" t="str">
        <f>IF(A419&lt;&gt;"",'ENC to Device Cables'!G498,"")</f>
        <v/>
      </c>
      <c r="C419" t="str">
        <f>IF(A419&lt;&gt;"",'ENC to Device Cables'!H498,"")</f>
        <v/>
      </c>
      <c r="D419" s="1" t="str">
        <f>IF(A419&lt;&gt;"",'ENC to Device Cables'!I498,"")</f>
        <v/>
      </c>
    </row>
    <row r="420" spans="1:4" x14ac:dyDescent="0.2">
      <c r="A420" t="str">
        <f>IF('ENC to Device Cables'!F499&lt;&gt;"",'ENC to Device Cables'!F499,"")</f>
        <v/>
      </c>
      <c r="B420" s="2" t="str">
        <f>IF(A420&lt;&gt;"",'ENC to Device Cables'!G499,"")</f>
        <v/>
      </c>
      <c r="C420" t="str">
        <f>IF(A420&lt;&gt;"",'ENC to Device Cables'!H499,"")</f>
        <v/>
      </c>
      <c r="D420" s="1" t="str">
        <f>IF(A420&lt;&gt;"",'ENC to Device Cables'!I499,"")</f>
        <v/>
      </c>
    </row>
    <row r="421" spans="1:4" x14ac:dyDescent="0.2">
      <c r="A421" t="str">
        <f>IF('ENC to Device Cables'!F500&lt;&gt;"",'ENC to Device Cables'!F500,"")</f>
        <v/>
      </c>
      <c r="B421" s="2" t="str">
        <f>IF(A421&lt;&gt;"",'ENC to Device Cables'!G500,"")</f>
        <v/>
      </c>
      <c r="C421" t="str">
        <f>IF(A421&lt;&gt;"",'ENC to Device Cables'!H500,"")</f>
        <v/>
      </c>
      <c r="D421" s="1" t="str">
        <f>IF(A421&lt;&gt;"",'ENC to Device Cables'!I500,"")</f>
        <v/>
      </c>
    </row>
    <row r="422" spans="1:4" x14ac:dyDescent="0.2">
      <c r="A422" t="str">
        <f>IF('ENC to Device Cables'!F501&lt;&gt;"",'ENC to Device Cables'!F501,"")</f>
        <v/>
      </c>
      <c r="B422" s="2" t="str">
        <f>IF(A422&lt;&gt;"",'ENC to Device Cables'!G501,"")</f>
        <v/>
      </c>
      <c r="C422" t="str">
        <f>IF(A422&lt;&gt;"",'ENC to Device Cables'!H501,"")</f>
        <v/>
      </c>
      <c r="D422" s="1" t="str">
        <f>IF(A422&lt;&gt;"",'ENC to Device Cables'!I501,"")</f>
        <v/>
      </c>
    </row>
    <row r="423" spans="1:4" x14ac:dyDescent="0.2">
      <c r="A423" t="str">
        <f>IF('ENC to Device Cables'!F502&lt;&gt;"",'ENC to Device Cables'!F502,"")</f>
        <v/>
      </c>
      <c r="B423" s="2" t="str">
        <f>IF(A423&lt;&gt;"",'ENC to Device Cables'!G502,"")</f>
        <v/>
      </c>
      <c r="C423" t="str">
        <f>IF(A423&lt;&gt;"",'ENC to Device Cables'!H502,"")</f>
        <v/>
      </c>
      <c r="D423" s="1" t="str">
        <f>IF(A423&lt;&gt;"",'ENC to Device Cables'!I502,"")</f>
        <v/>
      </c>
    </row>
    <row r="424" spans="1:4" x14ac:dyDescent="0.2">
      <c r="A424" t="str">
        <f>IF('ENC to Device Cables'!F503&lt;&gt;"",'ENC to Device Cables'!F503,"")</f>
        <v/>
      </c>
      <c r="B424" s="2" t="str">
        <f>IF(A424&lt;&gt;"",'ENC to Device Cables'!G503,"")</f>
        <v/>
      </c>
      <c r="C424" t="str">
        <f>IF(A424&lt;&gt;"",'ENC to Device Cables'!H503,"")</f>
        <v/>
      </c>
      <c r="D424" s="1" t="str">
        <f>IF(A424&lt;&gt;"",'ENC to Device Cables'!I503,"")</f>
        <v/>
      </c>
    </row>
    <row r="425" spans="1:4" x14ac:dyDescent="0.2">
      <c r="A425" t="str">
        <f>IF('ENC to Device Cables'!F504&lt;&gt;"",'ENC to Device Cables'!F504,"")</f>
        <v/>
      </c>
      <c r="B425" s="2" t="str">
        <f>IF(A425&lt;&gt;"",'ENC to Device Cables'!G504,"")</f>
        <v/>
      </c>
      <c r="C425" t="str">
        <f>IF(A425&lt;&gt;"",'ENC to Device Cables'!H504,"")</f>
        <v/>
      </c>
      <c r="D425" s="1" t="str">
        <f>IF(A425&lt;&gt;"",'ENC to Device Cables'!I504,"")</f>
        <v/>
      </c>
    </row>
    <row r="426" spans="1:4" x14ac:dyDescent="0.2">
      <c r="A426" t="str">
        <f>IF('ENC to Device Cables'!F505&lt;&gt;"",'ENC to Device Cables'!F505,"")</f>
        <v/>
      </c>
      <c r="B426" s="2" t="str">
        <f>IF(A426&lt;&gt;"",'ENC to Device Cables'!G505,"")</f>
        <v/>
      </c>
      <c r="C426" t="str">
        <f>IF(A426&lt;&gt;"",'ENC to Device Cables'!H505,"")</f>
        <v/>
      </c>
      <c r="D426" s="1" t="str">
        <f>IF(A426&lt;&gt;"",'ENC to Device Cables'!I505,"")</f>
        <v/>
      </c>
    </row>
    <row r="427" spans="1:4" x14ac:dyDescent="0.2">
      <c r="A427" t="str">
        <f>IF('ENC to Device Cables'!F506&lt;&gt;"",'ENC to Device Cables'!F506,"")</f>
        <v/>
      </c>
      <c r="B427" s="2" t="str">
        <f>IF(A427&lt;&gt;"",'ENC to Device Cables'!G506,"")</f>
        <v/>
      </c>
      <c r="C427" t="str">
        <f>IF(A427&lt;&gt;"",'ENC to Device Cables'!H506,"")</f>
        <v/>
      </c>
      <c r="D427" s="1" t="str">
        <f>IF(A427&lt;&gt;"",'ENC to Device Cables'!I506,"")</f>
        <v/>
      </c>
    </row>
    <row r="428" spans="1:4" x14ac:dyDescent="0.2">
      <c r="A428" t="str">
        <f>IF('ENC to Device Cables'!F507&lt;&gt;"",'ENC to Device Cables'!F507,"")</f>
        <v/>
      </c>
      <c r="B428" s="2" t="str">
        <f>IF(A428&lt;&gt;"",'ENC to Device Cables'!G507,"")</f>
        <v/>
      </c>
      <c r="C428" t="str">
        <f>IF(A428&lt;&gt;"",'ENC to Device Cables'!H507,"")</f>
        <v/>
      </c>
      <c r="D428" s="1" t="str">
        <f>IF(A428&lt;&gt;"",'ENC to Device Cables'!I507,"")</f>
        <v/>
      </c>
    </row>
    <row r="429" spans="1:4" x14ac:dyDescent="0.2">
      <c r="A429" t="str">
        <f>IF('ENC to Device Cables'!F508&lt;&gt;"",'ENC to Device Cables'!F508,"")</f>
        <v/>
      </c>
      <c r="B429" s="2" t="str">
        <f>IF(A429&lt;&gt;"",'ENC to Device Cables'!G508,"")</f>
        <v/>
      </c>
      <c r="C429" t="str">
        <f>IF(A429&lt;&gt;"",'ENC to Device Cables'!H508,"")</f>
        <v/>
      </c>
      <c r="D429" s="1" t="str">
        <f>IF(A429&lt;&gt;"",'ENC to Device Cables'!I508,"")</f>
        <v/>
      </c>
    </row>
    <row r="430" spans="1:4" x14ac:dyDescent="0.2">
      <c r="A430" t="str">
        <f>IF('ENC to Device Cables'!F509&lt;&gt;"",'ENC to Device Cables'!F509,"")</f>
        <v/>
      </c>
      <c r="B430" s="2" t="str">
        <f>IF(A430&lt;&gt;"",'ENC to Device Cables'!G509,"")</f>
        <v/>
      </c>
      <c r="C430" t="str">
        <f>IF(A430&lt;&gt;"",'ENC to Device Cables'!H509,"")</f>
        <v/>
      </c>
      <c r="D430" s="1" t="str">
        <f>IF(A430&lt;&gt;"",'ENC to Device Cables'!I509,"")</f>
        <v/>
      </c>
    </row>
    <row r="431" spans="1:4" x14ac:dyDescent="0.2">
      <c r="A431" t="str">
        <f>IF('ENC to Device Cables'!F510&lt;&gt;"",'ENC to Device Cables'!F510,"")</f>
        <v/>
      </c>
      <c r="B431" s="2" t="str">
        <f>IF(A431&lt;&gt;"",'ENC to Device Cables'!G510,"")</f>
        <v/>
      </c>
      <c r="C431" t="str">
        <f>IF(A431&lt;&gt;"",'ENC to Device Cables'!H510,"")</f>
        <v/>
      </c>
      <c r="D431" s="1" t="str">
        <f>IF(A431&lt;&gt;"",'ENC to Device Cables'!I510,"")</f>
        <v/>
      </c>
    </row>
    <row r="432" spans="1:4" x14ac:dyDescent="0.2">
      <c r="A432" t="str">
        <f>IF('ENC to Device Cables'!F511&lt;&gt;"",'ENC to Device Cables'!F511,"")</f>
        <v/>
      </c>
      <c r="B432" s="2" t="str">
        <f>IF(A432&lt;&gt;"",'ENC to Device Cables'!G511,"")</f>
        <v/>
      </c>
      <c r="C432" t="str">
        <f>IF(A432&lt;&gt;"",'ENC to Device Cables'!H511,"")</f>
        <v/>
      </c>
      <c r="D432" s="1" t="str">
        <f>IF(A432&lt;&gt;"",'ENC to Device Cables'!I511,"")</f>
        <v/>
      </c>
    </row>
    <row r="433" spans="1:4" x14ac:dyDescent="0.2">
      <c r="A433" t="str">
        <f>IF('ENC to Device Cables'!F512&lt;&gt;"",'ENC to Device Cables'!F512,"")</f>
        <v/>
      </c>
      <c r="B433" s="2" t="str">
        <f>IF(A433&lt;&gt;"",'ENC to Device Cables'!G512,"")</f>
        <v/>
      </c>
      <c r="C433" t="str">
        <f>IF(A433&lt;&gt;"",'ENC to Device Cables'!H512,"")</f>
        <v/>
      </c>
      <c r="D433" s="1" t="str">
        <f>IF(A433&lt;&gt;"",'ENC to Device Cables'!I512,"")</f>
        <v/>
      </c>
    </row>
    <row r="434" spans="1:4" x14ac:dyDescent="0.2">
      <c r="A434" t="str">
        <f>IF('ENC to Device Cables'!F513&lt;&gt;"",'ENC to Device Cables'!F513,"")</f>
        <v/>
      </c>
      <c r="B434" s="2" t="str">
        <f>IF(A434&lt;&gt;"",'ENC to Device Cables'!G513,"")</f>
        <v/>
      </c>
      <c r="C434" t="str">
        <f>IF(A434&lt;&gt;"",'ENC to Device Cables'!H513,"")</f>
        <v/>
      </c>
      <c r="D434" s="1" t="str">
        <f>IF(A434&lt;&gt;"",'ENC to Device Cables'!I513,"")</f>
        <v/>
      </c>
    </row>
    <row r="435" spans="1:4" x14ac:dyDescent="0.2">
      <c r="A435" t="str">
        <f>IF('ENC to Device Cables'!F514&lt;&gt;"",'ENC to Device Cables'!F514,"")</f>
        <v/>
      </c>
      <c r="B435" s="2" t="str">
        <f>IF(A435&lt;&gt;"",'ENC to Device Cables'!G514,"")</f>
        <v/>
      </c>
      <c r="C435" t="str">
        <f>IF(A435&lt;&gt;"",'ENC to Device Cables'!H514,"")</f>
        <v/>
      </c>
      <c r="D435" s="1" t="str">
        <f>IF(A435&lt;&gt;"",'ENC to Device Cables'!I514,"")</f>
        <v/>
      </c>
    </row>
    <row r="436" spans="1:4" x14ac:dyDescent="0.2">
      <c r="A436" t="str">
        <f>IF('ENC to Device Cables'!F515&lt;&gt;"",'ENC to Device Cables'!F515,"")</f>
        <v/>
      </c>
      <c r="B436" s="2" t="str">
        <f>IF(A436&lt;&gt;"",'ENC to Device Cables'!G515,"")</f>
        <v/>
      </c>
      <c r="C436" t="str">
        <f>IF(A436&lt;&gt;"",'ENC to Device Cables'!H515,"")</f>
        <v/>
      </c>
      <c r="D436" s="1" t="str">
        <f>IF(A436&lt;&gt;"",'ENC to Device Cables'!I515,"")</f>
        <v/>
      </c>
    </row>
    <row r="437" spans="1:4" x14ac:dyDescent="0.2">
      <c r="A437" t="str">
        <f>IF('ENC to Device Cables'!F516&lt;&gt;"",'ENC to Device Cables'!F516,"")</f>
        <v/>
      </c>
      <c r="B437" s="2" t="str">
        <f>IF(A437&lt;&gt;"",'ENC to Device Cables'!G516,"")</f>
        <v/>
      </c>
      <c r="C437" t="str">
        <f>IF(A437&lt;&gt;"",'ENC to Device Cables'!H516,"")</f>
        <v/>
      </c>
      <c r="D437" s="1" t="str">
        <f>IF(A437&lt;&gt;"",'ENC to Device Cables'!I516,"")</f>
        <v/>
      </c>
    </row>
    <row r="438" spans="1:4" x14ac:dyDescent="0.2">
      <c r="A438" t="str">
        <f>IF('ENC to Device Cables'!F517&lt;&gt;"",'ENC to Device Cables'!F517,"")</f>
        <v/>
      </c>
      <c r="B438" s="2" t="str">
        <f>IF(A438&lt;&gt;"",'ENC to Device Cables'!G517,"")</f>
        <v/>
      </c>
      <c r="C438" t="str">
        <f>IF(A438&lt;&gt;"",'ENC to Device Cables'!H517,"")</f>
        <v/>
      </c>
      <c r="D438" s="1" t="str">
        <f>IF(A438&lt;&gt;"",'ENC to Device Cables'!I517,"")</f>
        <v/>
      </c>
    </row>
    <row r="439" spans="1:4" x14ac:dyDescent="0.2">
      <c r="A439" t="str">
        <f>IF('ENC to Device Cables'!F518&lt;&gt;"",'ENC to Device Cables'!F518,"")</f>
        <v/>
      </c>
      <c r="B439" s="2" t="str">
        <f>IF(A439&lt;&gt;"",'ENC to Device Cables'!G518,"")</f>
        <v/>
      </c>
      <c r="C439" t="str">
        <f>IF(A439&lt;&gt;"",'ENC to Device Cables'!H518,"")</f>
        <v/>
      </c>
      <c r="D439" s="1" t="str">
        <f>IF(A439&lt;&gt;"",'ENC to Device Cables'!I518,"")</f>
        <v/>
      </c>
    </row>
    <row r="440" spans="1:4" x14ac:dyDescent="0.2">
      <c r="A440" t="str">
        <f>IF('ENC to Device Cables'!F519&lt;&gt;"",'ENC to Device Cables'!F519,"")</f>
        <v/>
      </c>
      <c r="B440" s="2" t="str">
        <f>IF(A440&lt;&gt;"",'ENC to Device Cables'!G519,"")</f>
        <v/>
      </c>
      <c r="C440" t="str">
        <f>IF(A440&lt;&gt;"",'ENC to Device Cables'!H519,"")</f>
        <v/>
      </c>
      <c r="D440" s="1" t="str">
        <f>IF(A440&lt;&gt;"",'ENC to Device Cables'!I519,"")</f>
        <v/>
      </c>
    </row>
    <row r="441" spans="1:4" x14ac:dyDescent="0.2">
      <c r="A441" t="str">
        <f>IF('ENC to Device Cables'!F520&lt;&gt;"",'ENC to Device Cables'!F520,"")</f>
        <v/>
      </c>
      <c r="B441" s="2" t="str">
        <f>IF(A441&lt;&gt;"",'ENC to Device Cables'!G520,"")</f>
        <v/>
      </c>
      <c r="C441" t="str">
        <f>IF(A441&lt;&gt;"",'ENC to Device Cables'!H520,"")</f>
        <v/>
      </c>
      <c r="D441" s="1" t="str">
        <f>IF(A441&lt;&gt;"",'ENC to Device Cables'!I520,"")</f>
        <v/>
      </c>
    </row>
    <row r="442" spans="1:4" x14ac:dyDescent="0.2">
      <c r="A442" t="str">
        <f>IF('ENC to Device Cables'!F521&lt;&gt;"",'ENC to Device Cables'!F521,"")</f>
        <v/>
      </c>
      <c r="B442" s="2" t="str">
        <f>IF(A442&lt;&gt;"",'ENC to Device Cables'!G521,"")</f>
        <v/>
      </c>
      <c r="C442" t="str">
        <f>IF(A442&lt;&gt;"",'ENC to Device Cables'!H521,"")</f>
        <v/>
      </c>
      <c r="D442" s="1" t="str">
        <f>IF(A442&lt;&gt;"",'ENC to Device Cables'!I521,"")</f>
        <v/>
      </c>
    </row>
    <row r="443" spans="1:4" x14ac:dyDescent="0.2">
      <c r="A443" t="str">
        <f>IF('ENC to Device Cables'!F522&lt;&gt;"",'ENC to Device Cables'!F522,"")</f>
        <v/>
      </c>
      <c r="B443" s="2" t="str">
        <f>IF(A443&lt;&gt;"",'ENC to Device Cables'!G522,"")</f>
        <v/>
      </c>
      <c r="C443" t="str">
        <f>IF(A443&lt;&gt;"",'ENC to Device Cables'!H522,"")</f>
        <v/>
      </c>
      <c r="D443" s="1" t="str">
        <f>IF(A443&lt;&gt;"",'ENC to Device Cables'!I522,"")</f>
        <v/>
      </c>
    </row>
    <row r="444" spans="1:4" x14ac:dyDescent="0.2">
      <c r="A444" t="str">
        <f>IF('ENC to Device Cables'!F523&lt;&gt;"",'ENC to Device Cables'!F523,"")</f>
        <v/>
      </c>
      <c r="B444" s="2" t="str">
        <f>IF(A444&lt;&gt;"",'ENC to Device Cables'!G523,"")</f>
        <v/>
      </c>
      <c r="C444" t="str">
        <f>IF(A444&lt;&gt;"",'ENC to Device Cables'!H523,"")</f>
        <v/>
      </c>
      <c r="D444" s="1" t="str">
        <f>IF(A444&lt;&gt;"",'ENC to Device Cables'!I523,"")</f>
        <v/>
      </c>
    </row>
    <row r="445" spans="1:4" x14ac:dyDescent="0.2">
      <c r="A445" t="str">
        <f>IF('ENC to Device Cables'!F524&lt;&gt;"",'ENC to Device Cables'!F524,"")</f>
        <v/>
      </c>
      <c r="B445" s="2" t="str">
        <f>IF(A445&lt;&gt;"",'ENC to Device Cables'!G524,"")</f>
        <v/>
      </c>
      <c r="C445" t="str">
        <f>IF(A445&lt;&gt;"",'ENC to Device Cables'!H524,"")</f>
        <v/>
      </c>
      <c r="D445" s="1" t="str">
        <f>IF(A445&lt;&gt;"",'ENC to Device Cables'!I524,"")</f>
        <v/>
      </c>
    </row>
    <row r="446" spans="1:4" x14ac:dyDescent="0.2">
      <c r="A446" t="str">
        <f>IF('ENC to Device Cables'!F525&lt;&gt;"",'ENC to Device Cables'!F525,"")</f>
        <v/>
      </c>
      <c r="B446" s="2" t="str">
        <f>IF(A446&lt;&gt;"",'ENC to Device Cables'!G525,"")</f>
        <v/>
      </c>
      <c r="C446" t="str">
        <f>IF(A446&lt;&gt;"",'ENC to Device Cables'!H525,"")</f>
        <v/>
      </c>
      <c r="D446" s="1" t="str">
        <f>IF(A446&lt;&gt;"",'ENC to Device Cables'!I525,"")</f>
        <v/>
      </c>
    </row>
    <row r="447" spans="1:4" x14ac:dyDescent="0.2">
      <c r="A447" t="str">
        <f>IF('ENC to Device Cables'!F526&lt;&gt;"",'ENC to Device Cables'!F526,"")</f>
        <v/>
      </c>
      <c r="B447" s="2" t="str">
        <f>IF(A447&lt;&gt;"",'ENC to Device Cables'!G526,"")</f>
        <v/>
      </c>
      <c r="C447" t="str">
        <f>IF(A447&lt;&gt;"",'ENC to Device Cables'!H526,"")</f>
        <v/>
      </c>
      <c r="D447" s="1" t="str">
        <f>IF(A447&lt;&gt;"",'ENC to Device Cables'!I526,"")</f>
        <v/>
      </c>
    </row>
    <row r="448" spans="1:4" x14ac:dyDescent="0.2">
      <c r="A448" t="str">
        <f>IF('ENC to Device Cables'!F527&lt;&gt;"",'ENC to Device Cables'!F527,"")</f>
        <v/>
      </c>
      <c r="B448" s="2" t="str">
        <f>IF(A448&lt;&gt;"",'ENC to Device Cables'!G527,"")</f>
        <v/>
      </c>
      <c r="C448" t="str">
        <f>IF(A448&lt;&gt;"",'ENC to Device Cables'!H527,"")</f>
        <v/>
      </c>
      <c r="D448" s="1" t="str">
        <f>IF(A448&lt;&gt;"",'ENC to Device Cables'!I527,"")</f>
        <v/>
      </c>
    </row>
    <row r="449" spans="1:4" x14ac:dyDescent="0.2">
      <c r="A449" t="str">
        <f>IF('ENC to Device Cables'!F528&lt;&gt;"",'ENC to Device Cables'!F528,"")</f>
        <v/>
      </c>
      <c r="B449" s="2" t="str">
        <f>IF(A449&lt;&gt;"",'ENC to Device Cables'!G528,"")</f>
        <v/>
      </c>
      <c r="C449" t="str">
        <f>IF(A449&lt;&gt;"",'ENC to Device Cables'!H528,"")</f>
        <v/>
      </c>
      <c r="D449" s="1" t="str">
        <f>IF(A449&lt;&gt;"",'ENC to Device Cables'!I528,"")</f>
        <v/>
      </c>
    </row>
    <row r="450" spans="1:4" x14ac:dyDescent="0.2">
      <c r="A450" t="str">
        <f>IF('ENC to Device Cables'!F529&lt;&gt;"",'ENC to Device Cables'!F529,"")</f>
        <v/>
      </c>
      <c r="B450" s="2" t="str">
        <f>IF(A450&lt;&gt;"",'ENC to Device Cables'!G529,"")</f>
        <v/>
      </c>
      <c r="C450" t="str">
        <f>IF(A450&lt;&gt;"",'ENC to Device Cables'!H529,"")</f>
        <v/>
      </c>
      <c r="D450" s="1" t="str">
        <f>IF(A450&lt;&gt;"",'ENC to Device Cables'!I529,"")</f>
        <v/>
      </c>
    </row>
    <row r="451" spans="1:4" x14ac:dyDescent="0.2">
      <c r="A451" t="str">
        <f>IF('ENC to Device Cables'!F530&lt;&gt;"",'ENC to Device Cables'!F530,"")</f>
        <v/>
      </c>
      <c r="B451" s="2" t="str">
        <f>IF(A451&lt;&gt;"",'ENC to Device Cables'!G530,"")</f>
        <v/>
      </c>
      <c r="C451" t="str">
        <f>IF(A451&lt;&gt;"",'ENC to Device Cables'!H530,"")</f>
        <v/>
      </c>
      <c r="D451" s="1" t="str">
        <f>IF(A451&lt;&gt;"",'ENC to Device Cables'!I530,"")</f>
        <v/>
      </c>
    </row>
    <row r="452" spans="1:4" x14ac:dyDescent="0.2">
      <c r="A452" t="str">
        <f>IF('ENC to Device Cables'!F531&lt;&gt;"",'ENC to Device Cables'!F531,"")</f>
        <v/>
      </c>
      <c r="B452" s="2" t="str">
        <f>IF(A452&lt;&gt;"",'ENC to Device Cables'!G531,"")</f>
        <v/>
      </c>
      <c r="C452" t="str">
        <f>IF(A452&lt;&gt;"",'ENC to Device Cables'!H531,"")</f>
        <v/>
      </c>
      <c r="D452" s="1" t="str">
        <f>IF(A452&lt;&gt;"",'ENC to Device Cables'!I531,"")</f>
        <v/>
      </c>
    </row>
    <row r="453" spans="1:4" x14ac:dyDescent="0.2">
      <c r="A453" t="str">
        <f>IF('ENC to Device Cables'!F532&lt;&gt;"",'ENC to Device Cables'!F532,"")</f>
        <v/>
      </c>
      <c r="B453" s="2" t="str">
        <f>IF(A453&lt;&gt;"",'ENC to Device Cables'!G532,"")</f>
        <v/>
      </c>
      <c r="C453" t="str">
        <f>IF(A453&lt;&gt;"",'ENC to Device Cables'!H532,"")</f>
        <v/>
      </c>
      <c r="D453" s="1" t="str">
        <f>IF(A453&lt;&gt;"",'ENC to Device Cables'!I532,"")</f>
        <v/>
      </c>
    </row>
    <row r="454" spans="1:4" x14ac:dyDescent="0.2">
      <c r="A454" t="str">
        <f>IF('ENC to Device Cables'!F533&lt;&gt;"",'ENC to Device Cables'!F533,"")</f>
        <v/>
      </c>
      <c r="B454" s="2" t="str">
        <f>IF(A454&lt;&gt;"",'ENC to Device Cables'!G533,"")</f>
        <v/>
      </c>
      <c r="C454" t="str">
        <f>IF(A454&lt;&gt;"",'ENC to Device Cables'!H533,"")</f>
        <v/>
      </c>
      <c r="D454" s="1" t="str">
        <f>IF(A454&lt;&gt;"",'ENC to Device Cables'!I533,"")</f>
        <v/>
      </c>
    </row>
    <row r="455" spans="1:4" x14ac:dyDescent="0.2">
      <c r="A455" t="str">
        <f>IF('ENC to Device Cables'!F534&lt;&gt;"",'ENC to Device Cables'!F534,"")</f>
        <v/>
      </c>
      <c r="B455" s="2" t="str">
        <f>IF(A455&lt;&gt;"",'ENC to Device Cables'!G534,"")</f>
        <v/>
      </c>
      <c r="C455" t="str">
        <f>IF(A455&lt;&gt;"",'ENC to Device Cables'!H534,"")</f>
        <v/>
      </c>
      <c r="D455" s="1" t="str">
        <f>IF(A455&lt;&gt;"",'ENC to Device Cables'!I534,"")</f>
        <v/>
      </c>
    </row>
    <row r="456" spans="1:4" x14ac:dyDescent="0.2">
      <c r="A456" t="str">
        <f>IF('ENC to Device Cables'!F535&lt;&gt;"",'ENC to Device Cables'!F535,"")</f>
        <v/>
      </c>
      <c r="B456" s="2" t="str">
        <f>IF(A456&lt;&gt;"",'ENC to Device Cables'!G535,"")</f>
        <v/>
      </c>
      <c r="C456" t="str">
        <f>IF(A456&lt;&gt;"",'ENC to Device Cables'!H535,"")</f>
        <v/>
      </c>
      <c r="D456" s="1" t="str">
        <f>IF(A456&lt;&gt;"",'ENC to Device Cables'!I535,"")</f>
        <v/>
      </c>
    </row>
    <row r="457" spans="1:4" x14ac:dyDescent="0.2">
      <c r="A457" t="str">
        <f>IF('ENC to Device Cables'!F536&lt;&gt;"",'ENC to Device Cables'!F536,"")</f>
        <v/>
      </c>
      <c r="B457" s="2" t="str">
        <f>IF(A457&lt;&gt;"",'ENC to Device Cables'!G536,"")</f>
        <v/>
      </c>
      <c r="C457" t="str">
        <f>IF(A457&lt;&gt;"",'ENC to Device Cables'!H536,"")</f>
        <v/>
      </c>
      <c r="D457" s="1" t="str">
        <f>IF(A457&lt;&gt;"",'ENC to Device Cables'!I536,"")</f>
        <v/>
      </c>
    </row>
    <row r="458" spans="1:4" x14ac:dyDescent="0.2">
      <c r="A458" t="str">
        <f>IF('ENC to Device Cables'!F537&lt;&gt;"",'ENC to Device Cables'!F537,"")</f>
        <v/>
      </c>
      <c r="B458" s="2" t="str">
        <f>IF(A458&lt;&gt;"",'ENC to Device Cables'!G537,"")</f>
        <v/>
      </c>
      <c r="C458" t="str">
        <f>IF(A458&lt;&gt;"",'ENC to Device Cables'!H537,"")</f>
        <v/>
      </c>
      <c r="D458" s="1" t="str">
        <f>IF(A458&lt;&gt;"",'ENC to Device Cables'!I537,"")</f>
        <v/>
      </c>
    </row>
    <row r="459" spans="1:4" x14ac:dyDescent="0.2">
      <c r="A459" t="str">
        <f>IF('ENC to Device Cables'!F538&lt;&gt;"",'ENC to Device Cables'!F538,"")</f>
        <v/>
      </c>
      <c r="B459" s="2" t="str">
        <f>IF(A459&lt;&gt;"",'ENC to Device Cables'!G538,"")</f>
        <v/>
      </c>
      <c r="C459" t="str">
        <f>IF(A459&lt;&gt;"",'ENC to Device Cables'!H538,"")</f>
        <v/>
      </c>
      <c r="D459" s="1" t="str">
        <f>IF(A459&lt;&gt;"",'ENC to Device Cables'!I538,"")</f>
        <v/>
      </c>
    </row>
    <row r="460" spans="1:4" x14ac:dyDescent="0.2">
      <c r="A460" t="str">
        <f>IF('ENC to Device Cables'!F539&lt;&gt;"",'ENC to Device Cables'!F539,"")</f>
        <v/>
      </c>
      <c r="B460" s="2" t="str">
        <f>IF(A460&lt;&gt;"",'ENC to Device Cables'!G539,"")</f>
        <v/>
      </c>
      <c r="C460" t="str">
        <f>IF(A460&lt;&gt;"",'ENC to Device Cables'!H539,"")</f>
        <v/>
      </c>
      <c r="D460" s="1" t="str">
        <f>IF(A460&lt;&gt;"",'ENC to Device Cables'!I539,"")</f>
        <v/>
      </c>
    </row>
    <row r="461" spans="1:4" x14ac:dyDescent="0.2">
      <c r="A461" t="str">
        <f>IF('ENC to Device Cables'!F540&lt;&gt;"",'ENC to Device Cables'!F540,"")</f>
        <v/>
      </c>
      <c r="B461" s="2" t="str">
        <f>IF(A461&lt;&gt;"",'ENC to Device Cables'!G540,"")</f>
        <v/>
      </c>
      <c r="C461" t="str">
        <f>IF(A461&lt;&gt;"",'ENC to Device Cables'!H540,"")</f>
        <v/>
      </c>
      <c r="D461" s="1" t="str">
        <f>IF(A461&lt;&gt;"",'ENC to Device Cables'!I540,"")</f>
        <v/>
      </c>
    </row>
    <row r="462" spans="1:4" x14ac:dyDescent="0.2">
      <c r="A462" t="str">
        <f>IF('ENC to Device Cables'!F541&lt;&gt;"",'ENC to Device Cables'!F541,"")</f>
        <v/>
      </c>
      <c r="B462" s="2" t="str">
        <f>IF(A462&lt;&gt;"",'ENC to Device Cables'!G541,"")</f>
        <v/>
      </c>
      <c r="C462" t="str">
        <f>IF(A462&lt;&gt;"",'ENC to Device Cables'!H541,"")</f>
        <v/>
      </c>
      <c r="D462" s="1" t="str">
        <f>IF(A462&lt;&gt;"",'ENC to Device Cables'!I541,"")</f>
        <v/>
      </c>
    </row>
    <row r="463" spans="1:4" x14ac:dyDescent="0.2">
      <c r="A463" t="str">
        <f>IF('ENC to Device Cables'!F542&lt;&gt;"",'ENC to Device Cables'!F542,"")</f>
        <v/>
      </c>
      <c r="B463" s="2" t="str">
        <f>IF(A463&lt;&gt;"",'ENC to Device Cables'!G542,"")</f>
        <v/>
      </c>
      <c r="C463" t="str">
        <f>IF(A463&lt;&gt;"",'ENC to Device Cables'!H542,"")</f>
        <v/>
      </c>
      <c r="D463" s="1" t="str">
        <f>IF(A463&lt;&gt;"",'ENC to Device Cables'!I542,"")</f>
        <v/>
      </c>
    </row>
    <row r="464" spans="1:4" x14ac:dyDescent="0.2">
      <c r="A464" t="str">
        <f>IF('ENC to Device Cables'!F543&lt;&gt;"",'ENC to Device Cables'!F543,"")</f>
        <v/>
      </c>
      <c r="B464" s="2" t="str">
        <f>IF(A464&lt;&gt;"",'ENC to Device Cables'!G543,"")</f>
        <v/>
      </c>
      <c r="C464" t="str">
        <f>IF(A464&lt;&gt;"",'ENC to Device Cables'!H543,"")</f>
        <v/>
      </c>
      <c r="D464" s="1" t="str">
        <f>IF(A464&lt;&gt;"",'ENC to Device Cables'!I543,"")</f>
        <v/>
      </c>
    </row>
    <row r="465" spans="1:4" x14ac:dyDescent="0.2">
      <c r="A465" t="str">
        <f>IF('ENC to Device Cables'!F544&lt;&gt;"",'ENC to Device Cables'!F544,"")</f>
        <v/>
      </c>
      <c r="B465" s="2" t="str">
        <f>IF(A465&lt;&gt;"",'ENC to Device Cables'!G544,"")</f>
        <v/>
      </c>
      <c r="C465" t="str">
        <f>IF(A465&lt;&gt;"",'ENC to Device Cables'!H544,"")</f>
        <v/>
      </c>
      <c r="D465" s="1" t="str">
        <f>IF(A465&lt;&gt;"",'ENC to Device Cables'!I544,"")</f>
        <v/>
      </c>
    </row>
    <row r="466" spans="1:4" x14ac:dyDescent="0.2">
      <c r="A466" t="str">
        <f>IF('ENC to Device Cables'!F545&lt;&gt;"",'ENC to Device Cables'!F545,"")</f>
        <v/>
      </c>
      <c r="B466" s="2" t="str">
        <f>IF(A466&lt;&gt;"",'ENC to Device Cables'!G545,"")</f>
        <v/>
      </c>
      <c r="C466" t="str">
        <f>IF(A466&lt;&gt;"",'ENC to Device Cables'!H545,"")</f>
        <v/>
      </c>
      <c r="D466" s="1" t="str">
        <f>IF(A466&lt;&gt;"",'ENC to Device Cables'!I545,"")</f>
        <v/>
      </c>
    </row>
    <row r="467" spans="1:4" x14ac:dyDescent="0.2">
      <c r="A467" t="str">
        <f>IF('ENC to Device Cables'!F546&lt;&gt;"",'ENC to Device Cables'!F546,"")</f>
        <v/>
      </c>
      <c r="B467" s="2" t="str">
        <f>IF(A467&lt;&gt;"",'ENC to Device Cables'!G546,"")</f>
        <v/>
      </c>
      <c r="C467" t="str">
        <f>IF(A467&lt;&gt;"",'ENC to Device Cables'!H546,"")</f>
        <v/>
      </c>
      <c r="D467" s="1" t="str">
        <f>IF(A467&lt;&gt;"",'ENC to Device Cables'!I546,"")</f>
        <v/>
      </c>
    </row>
    <row r="468" spans="1:4" x14ac:dyDescent="0.2">
      <c r="A468" t="str">
        <f>IF('ENC to Device Cables'!F547&lt;&gt;"",'ENC to Device Cables'!F547,"")</f>
        <v/>
      </c>
      <c r="B468" s="2" t="str">
        <f>IF(A468&lt;&gt;"",'ENC to Device Cables'!G547,"")</f>
        <v/>
      </c>
      <c r="C468" t="str">
        <f>IF(A468&lt;&gt;"",'ENC to Device Cables'!H547,"")</f>
        <v/>
      </c>
      <c r="D468" s="1" t="str">
        <f>IF(A468&lt;&gt;"",'ENC to Device Cables'!I547,"")</f>
        <v/>
      </c>
    </row>
    <row r="469" spans="1:4" x14ac:dyDescent="0.2">
      <c r="A469" t="str">
        <f>IF('ENC to Device Cables'!F548&lt;&gt;"",'ENC to Device Cables'!F548,"")</f>
        <v/>
      </c>
      <c r="B469" s="2" t="str">
        <f>IF(A469&lt;&gt;"",'ENC to Device Cables'!G548,"")</f>
        <v/>
      </c>
      <c r="C469" t="str">
        <f>IF(A469&lt;&gt;"",'ENC to Device Cables'!H548,"")</f>
        <v/>
      </c>
      <c r="D469" s="1" t="str">
        <f>IF(A469&lt;&gt;"",'ENC to Device Cables'!I548,"")</f>
        <v/>
      </c>
    </row>
    <row r="470" spans="1:4" x14ac:dyDescent="0.2">
      <c r="A470" t="str">
        <f>IF('ENC to Device Cables'!F549&lt;&gt;"",'ENC to Device Cables'!F549,"")</f>
        <v/>
      </c>
      <c r="B470" s="2" t="str">
        <f>IF(A470&lt;&gt;"",'ENC to Device Cables'!G549,"")</f>
        <v/>
      </c>
      <c r="C470" t="str">
        <f>IF(A470&lt;&gt;"",'ENC to Device Cables'!H549,"")</f>
        <v/>
      </c>
      <c r="D470" s="1" t="str">
        <f>IF(A470&lt;&gt;"",'ENC to Device Cables'!I549,"")</f>
        <v/>
      </c>
    </row>
    <row r="471" spans="1:4" x14ac:dyDescent="0.2">
      <c r="A471" t="str">
        <f>IF('ENC to Device Cables'!F550&lt;&gt;"",'ENC to Device Cables'!F550,"")</f>
        <v/>
      </c>
      <c r="B471" s="2" t="str">
        <f>IF(A471&lt;&gt;"",'ENC to Device Cables'!G550,"")</f>
        <v/>
      </c>
      <c r="C471" t="str">
        <f>IF(A471&lt;&gt;"",'ENC to Device Cables'!H550,"")</f>
        <v/>
      </c>
      <c r="D471" s="1" t="str">
        <f>IF(A471&lt;&gt;"",'ENC to Device Cables'!I550,"")</f>
        <v/>
      </c>
    </row>
    <row r="472" spans="1:4" x14ac:dyDescent="0.2">
      <c r="A472" t="str">
        <f>IF('ENC to Device Cables'!F551&lt;&gt;"",'ENC to Device Cables'!F551,"")</f>
        <v/>
      </c>
      <c r="B472" s="2" t="str">
        <f>IF(A472&lt;&gt;"",'ENC to Device Cables'!G551,"")</f>
        <v/>
      </c>
      <c r="C472" t="str">
        <f>IF(A472&lt;&gt;"",'ENC to Device Cables'!H551,"")</f>
        <v/>
      </c>
      <c r="D472" s="1" t="str">
        <f>IF(A472&lt;&gt;"",'ENC to Device Cables'!I551,"")</f>
        <v/>
      </c>
    </row>
    <row r="473" spans="1:4" x14ac:dyDescent="0.2">
      <c r="A473" t="str">
        <f>IF('ENC to Device Cables'!F552&lt;&gt;"",'ENC to Device Cables'!F552,"")</f>
        <v/>
      </c>
      <c r="B473" s="2" t="str">
        <f>IF(A473&lt;&gt;"",'ENC to Device Cables'!G552,"")</f>
        <v/>
      </c>
      <c r="C473" t="str">
        <f>IF(A473&lt;&gt;"",'ENC to Device Cables'!H552,"")</f>
        <v/>
      </c>
      <c r="D473" s="1" t="str">
        <f>IF(A473&lt;&gt;"",'ENC to Device Cables'!I552,"")</f>
        <v/>
      </c>
    </row>
    <row r="474" spans="1:4" x14ac:dyDescent="0.2">
      <c r="A474" t="str">
        <f>IF('ENC to Device Cables'!F553&lt;&gt;"",'ENC to Device Cables'!F553,"")</f>
        <v/>
      </c>
      <c r="B474" s="2" t="str">
        <f>IF(A474&lt;&gt;"",'ENC to Device Cables'!G553,"")</f>
        <v/>
      </c>
      <c r="C474" t="str">
        <f>IF(A474&lt;&gt;"",'ENC to Device Cables'!H553,"")</f>
        <v/>
      </c>
      <c r="D474" s="1" t="str">
        <f>IF(A474&lt;&gt;"",'ENC to Device Cables'!I553,"")</f>
        <v/>
      </c>
    </row>
    <row r="475" spans="1:4" x14ac:dyDescent="0.2">
      <c r="A475" t="str">
        <f>IF('ENC to Device Cables'!F554&lt;&gt;"",'ENC to Device Cables'!F554,"")</f>
        <v/>
      </c>
      <c r="B475" s="2" t="str">
        <f>IF(A475&lt;&gt;"",'ENC to Device Cables'!G554,"")</f>
        <v/>
      </c>
      <c r="C475" t="str">
        <f>IF(A475&lt;&gt;"",'ENC to Device Cables'!H554,"")</f>
        <v/>
      </c>
      <c r="D475" s="1" t="str">
        <f>IF(A475&lt;&gt;"",'ENC to Device Cables'!I554,"")</f>
        <v/>
      </c>
    </row>
    <row r="476" spans="1:4" x14ac:dyDescent="0.2">
      <c r="A476" t="str">
        <f>IF('ENC to Device Cables'!F555&lt;&gt;"",'ENC to Device Cables'!F555,"")</f>
        <v/>
      </c>
      <c r="B476" s="2" t="str">
        <f>IF(A476&lt;&gt;"",'ENC to Device Cables'!G555,"")</f>
        <v/>
      </c>
      <c r="C476" t="str">
        <f>IF(A476&lt;&gt;"",'ENC to Device Cables'!H555,"")</f>
        <v/>
      </c>
      <c r="D476" s="1" t="str">
        <f>IF(A476&lt;&gt;"",'ENC to Device Cables'!I555,"")</f>
        <v/>
      </c>
    </row>
    <row r="477" spans="1:4" x14ac:dyDescent="0.2">
      <c r="A477" t="str">
        <f>IF('ENC to Device Cables'!F556&lt;&gt;"",'ENC to Device Cables'!F556,"")</f>
        <v/>
      </c>
      <c r="B477" s="2" t="str">
        <f>IF(A477&lt;&gt;"",'ENC to Device Cables'!G556,"")</f>
        <v/>
      </c>
      <c r="C477" t="str">
        <f>IF(A477&lt;&gt;"",'ENC to Device Cables'!H556,"")</f>
        <v/>
      </c>
      <c r="D477" s="1" t="str">
        <f>IF(A477&lt;&gt;"",'ENC to Device Cables'!I556,"")</f>
        <v/>
      </c>
    </row>
    <row r="478" spans="1:4" x14ac:dyDescent="0.2">
      <c r="A478" t="str">
        <f>IF('ENC to Device Cables'!F557&lt;&gt;"",'ENC to Device Cables'!F557,"")</f>
        <v/>
      </c>
      <c r="B478" s="2" t="str">
        <f>IF(A478&lt;&gt;"",'ENC to Device Cables'!G557,"")</f>
        <v/>
      </c>
      <c r="C478" t="str">
        <f>IF(A478&lt;&gt;"",'ENC to Device Cables'!H557,"")</f>
        <v/>
      </c>
      <c r="D478" s="1" t="str">
        <f>IF(A478&lt;&gt;"",'ENC to Device Cables'!I557,"")</f>
        <v/>
      </c>
    </row>
    <row r="479" spans="1:4" x14ac:dyDescent="0.2">
      <c r="A479" t="str">
        <f>IF('ENC to Device Cables'!F558&lt;&gt;"",'ENC to Device Cables'!F558,"")</f>
        <v/>
      </c>
      <c r="B479" s="2" t="str">
        <f>IF(A479&lt;&gt;"",'ENC to Device Cables'!G558,"")</f>
        <v/>
      </c>
      <c r="C479" t="str">
        <f>IF(A479&lt;&gt;"",'ENC to Device Cables'!H558,"")</f>
        <v/>
      </c>
      <c r="D479" s="1" t="str">
        <f>IF(A479&lt;&gt;"",'ENC to Device Cables'!I558,"")</f>
        <v/>
      </c>
    </row>
    <row r="480" spans="1:4" x14ac:dyDescent="0.2">
      <c r="A480" t="str">
        <f>IF('ENC to Device Cables'!F559&lt;&gt;"",'ENC to Device Cables'!F559,"")</f>
        <v/>
      </c>
      <c r="B480" s="2" t="str">
        <f>IF(A480&lt;&gt;"",'ENC to Device Cables'!G559,"")</f>
        <v/>
      </c>
      <c r="C480" t="str">
        <f>IF(A480&lt;&gt;"",'ENC to Device Cables'!H559,"")</f>
        <v/>
      </c>
      <c r="D480" s="1" t="str">
        <f>IF(A480&lt;&gt;"",'ENC to Device Cables'!I559,"")</f>
        <v/>
      </c>
    </row>
    <row r="481" spans="1:4" x14ac:dyDescent="0.2">
      <c r="A481" t="str">
        <f>IF('ENC to Device Cables'!F560&lt;&gt;"",'ENC to Device Cables'!F560,"")</f>
        <v/>
      </c>
      <c r="B481" s="2" t="str">
        <f>IF(A481&lt;&gt;"",'ENC to Device Cables'!G560,"")</f>
        <v/>
      </c>
      <c r="C481" t="str">
        <f>IF(A481&lt;&gt;"",'ENC to Device Cables'!H560,"")</f>
        <v/>
      </c>
      <c r="D481" s="1" t="str">
        <f>IF(A481&lt;&gt;"",'ENC to Device Cables'!I560,"")</f>
        <v/>
      </c>
    </row>
    <row r="482" spans="1:4" x14ac:dyDescent="0.2">
      <c r="A482" t="str">
        <f>IF('ENC to Device Cables'!F561&lt;&gt;"",'ENC to Device Cables'!F561,"")</f>
        <v/>
      </c>
      <c r="B482" s="2" t="str">
        <f>IF(A482&lt;&gt;"",'ENC to Device Cables'!G561,"")</f>
        <v/>
      </c>
      <c r="C482" t="str">
        <f>IF(A482&lt;&gt;"",'ENC to Device Cables'!H561,"")</f>
        <v/>
      </c>
      <c r="D482" s="1" t="str">
        <f>IF(A482&lt;&gt;"",'ENC to Device Cables'!I561,"")</f>
        <v/>
      </c>
    </row>
    <row r="483" spans="1:4" x14ac:dyDescent="0.2">
      <c r="A483" t="str">
        <f>IF('ENC to Device Cables'!F562&lt;&gt;"",'ENC to Device Cables'!F562,"")</f>
        <v/>
      </c>
      <c r="B483" s="2" t="str">
        <f>IF(A483&lt;&gt;"",'ENC to Device Cables'!G562,"")</f>
        <v/>
      </c>
      <c r="C483" t="str">
        <f>IF(A483&lt;&gt;"",'ENC to Device Cables'!H562,"")</f>
        <v/>
      </c>
      <c r="D483" s="1" t="str">
        <f>IF(A483&lt;&gt;"",'ENC to Device Cables'!I562,"")</f>
        <v/>
      </c>
    </row>
    <row r="484" spans="1:4" x14ac:dyDescent="0.2">
      <c r="A484" t="str">
        <f>IF('ENC to Device Cables'!F563&lt;&gt;"",'ENC to Device Cables'!F563,"")</f>
        <v/>
      </c>
      <c r="B484" s="2" t="str">
        <f>IF(A484&lt;&gt;"",'ENC to Device Cables'!G563,"")</f>
        <v/>
      </c>
      <c r="C484" t="str">
        <f>IF(A484&lt;&gt;"",'ENC to Device Cables'!H563,"")</f>
        <v/>
      </c>
      <c r="D484" s="1" t="str">
        <f>IF(A484&lt;&gt;"",'ENC to Device Cables'!I563,"")</f>
        <v/>
      </c>
    </row>
    <row r="485" spans="1:4" x14ac:dyDescent="0.2">
      <c r="A485" t="str">
        <f>IF('ENC to Device Cables'!F564&lt;&gt;"",'ENC to Device Cables'!F564,"")</f>
        <v/>
      </c>
      <c r="B485" s="2" t="str">
        <f>IF(A485&lt;&gt;"",'ENC to Device Cables'!G564,"")</f>
        <v/>
      </c>
      <c r="C485" t="str">
        <f>IF(A485&lt;&gt;"",'ENC to Device Cables'!H564,"")</f>
        <v/>
      </c>
      <c r="D485" s="1" t="str">
        <f>IF(A485&lt;&gt;"",'ENC to Device Cables'!I564,"")</f>
        <v/>
      </c>
    </row>
    <row r="486" spans="1:4" x14ac:dyDescent="0.2">
      <c r="A486" t="str">
        <f>IF('ENC to Device Cables'!F565&lt;&gt;"",'ENC to Device Cables'!F565,"")</f>
        <v/>
      </c>
      <c r="B486" s="2" t="str">
        <f>IF(A486&lt;&gt;"",'ENC to Device Cables'!G565,"")</f>
        <v/>
      </c>
      <c r="C486" t="str">
        <f>IF(A486&lt;&gt;"",'ENC to Device Cables'!H565,"")</f>
        <v/>
      </c>
      <c r="D486" s="1" t="str">
        <f>IF(A486&lt;&gt;"",'ENC to Device Cables'!I565,"")</f>
        <v/>
      </c>
    </row>
    <row r="487" spans="1:4" x14ac:dyDescent="0.2">
      <c r="A487" t="str">
        <f>IF('ENC to Device Cables'!F566&lt;&gt;"",'ENC to Device Cables'!F566,"")</f>
        <v/>
      </c>
      <c r="B487" s="2" t="str">
        <f>IF(A487&lt;&gt;"",'ENC to Device Cables'!G566,"")</f>
        <v/>
      </c>
      <c r="C487" t="str">
        <f>IF(A487&lt;&gt;"",'ENC to Device Cables'!H566,"")</f>
        <v/>
      </c>
      <c r="D487" s="1" t="str">
        <f>IF(A487&lt;&gt;"",'ENC to Device Cables'!I566,"")</f>
        <v/>
      </c>
    </row>
    <row r="488" spans="1:4" x14ac:dyDescent="0.2">
      <c r="A488" t="str">
        <f>IF('ENC to Device Cables'!F567&lt;&gt;"",'ENC to Device Cables'!F567,"")</f>
        <v/>
      </c>
      <c r="B488" s="2" t="str">
        <f>IF(A488&lt;&gt;"",'ENC to Device Cables'!G567,"")</f>
        <v/>
      </c>
      <c r="C488" t="str">
        <f>IF(A488&lt;&gt;"",'ENC to Device Cables'!H567,"")</f>
        <v/>
      </c>
      <c r="D488" s="1" t="str">
        <f>IF(A488&lt;&gt;"",'ENC to Device Cables'!I567,"")</f>
        <v/>
      </c>
    </row>
    <row r="489" spans="1:4" x14ac:dyDescent="0.2">
      <c r="A489" t="str">
        <f>IF('ENC to Device Cables'!F568&lt;&gt;"",'ENC to Device Cables'!F568,"")</f>
        <v/>
      </c>
      <c r="B489" s="2" t="str">
        <f>IF(A489&lt;&gt;"",'ENC to Device Cables'!G568,"")</f>
        <v/>
      </c>
      <c r="C489" t="str">
        <f>IF(A489&lt;&gt;"",'ENC to Device Cables'!H568,"")</f>
        <v/>
      </c>
      <c r="D489" s="1" t="str">
        <f>IF(A489&lt;&gt;"",'ENC to Device Cables'!I568,"")</f>
        <v/>
      </c>
    </row>
    <row r="490" spans="1:4" x14ac:dyDescent="0.2">
      <c r="A490" t="str">
        <f>IF('ENC to Device Cables'!F569&lt;&gt;"",'ENC to Device Cables'!F569,"")</f>
        <v/>
      </c>
      <c r="B490" s="2" t="str">
        <f>IF(A490&lt;&gt;"",'ENC to Device Cables'!G569,"")</f>
        <v/>
      </c>
      <c r="C490" t="str">
        <f>IF(A490&lt;&gt;"",'ENC to Device Cables'!H569,"")</f>
        <v/>
      </c>
      <c r="D490" s="1" t="str">
        <f>IF(A490&lt;&gt;"",'ENC to Device Cables'!I569,"")</f>
        <v/>
      </c>
    </row>
    <row r="491" spans="1:4" x14ac:dyDescent="0.2">
      <c r="A491" t="str">
        <f>IF('ENC to Device Cables'!F570&lt;&gt;"",'ENC to Device Cables'!F570,"")</f>
        <v/>
      </c>
      <c r="B491" s="2" t="str">
        <f>IF(A491&lt;&gt;"",'ENC to Device Cables'!G570,"")</f>
        <v/>
      </c>
      <c r="C491" t="str">
        <f>IF(A491&lt;&gt;"",'ENC to Device Cables'!H570,"")</f>
        <v/>
      </c>
      <c r="D491" s="1" t="str">
        <f>IF(A491&lt;&gt;"",'ENC to Device Cables'!I570,"")</f>
        <v/>
      </c>
    </row>
    <row r="492" spans="1:4" x14ac:dyDescent="0.2">
      <c r="A492" t="str">
        <f>IF('ENC to Device Cables'!F571&lt;&gt;"",'ENC to Device Cables'!F571,"")</f>
        <v/>
      </c>
      <c r="B492" s="2" t="str">
        <f>IF(A492&lt;&gt;"",'ENC to Device Cables'!G571,"")</f>
        <v/>
      </c>
      <c r="C492" t="str">
        <f>IF(A492&lt;&gt;"",'ENC to Device Cables'!H571,"")</f>
        <v/>
      </c>
      <c r="D492" s="1" t="str">
        <f>IF(A492&lt;&gt;"",'ENC to Device Cables'!I571,"")</f>
        <v/>
      </c>
    </row>
    <row r="493" spans="1:4" x14ac:dyDescent="0.2">
      <c r="A493" t="str">
        <f>IF('ENC to Device Cables'!F572&lt;&gt;"",'ENC to Device Cables'!F572,"")</f>
        <v/>
      </c>
      <c r="B493" s="2" t="str">
        <f>IF(A493&lt;&gt;"",'ENC to Device Cables'!G572,"")</f>
        <v/>
      </c>
      <c r="C493" t="str">
        <f>IF(A493&lt;&gt;"",'ENC to Device Cables'!H572,"")</f>
        <v/>
      </c>
      <c r="D493" s="1" t="str">
        <f>IF(A493&lt;&gt;"",'ENC to Device Cables'!I572,"")</f>
        <v/>
      </c>
    </row>
    <row r="494" spans="1:4" x14ac:dyDescent="0.2">
      <c r="A494" t="str">
        <f>IF('ENC to Device Cables'!F573&lt;&gt;"",'ENC to Device Cables'!F573,"")</f>
        <v/>
      </c>
      <c r="B494" s="2" t="str">
        <f>IF(A494&lt;&gt;"",'ENC to Device Cables'!G573,"")</f>
        <v/>
      </c>
      <c r="C494" t="str">
        <f>IF(A494&lt;&gt;"",'ENC to Device Cables'!H573,"")</f>
        <v/>
      </c>
      <c r="D494" s="1" t="str">
        <f>IF(A494&lt;&gt;"",'ENC to Device Cables'!I573,"")</f>
        <v/>
      </c>
    </row>
    <row r="495" spans="1:4" x14ac:dyDescent="0.2">
      <c r="A495" t="str">
        <f>IF('ENC to Device Cables'!F574&lt;&gt;"",'ENC to Device Cables'!F574,"")</f>
        <v/>
      </c>
      <c r="B495" s="2" t="str">
        <f>IF(A495&lt;&gt;"",'ENC to Device Cables'!G574,"")</f>
        <v/>
      </c>
      <c r="C495" t="str">
        <f>IF(A495&lt;&gt;"",'ENC to Device Cables'!H574,"")</f>
        <v/>
      </c>
      <c r="D495" s="1" t="str">
        <f>IF(A495&lt;&gt;"",'ENC to Device Cables'!I574,"")</f>
        <v/>
      </c>
    </row>
    <row r="496" spans="1:4" x14ac:dyDescent="0.2">
      <c r="A496" t="str">
        <f>IF('ENC to Device Cables'!F575&lt;&gt;"",'ENC to Device Cables'!F575,"")</f>
        <v/>
      </c>
      <c r="B496" s="2" t="str">
        <f>IF(A496&lt;&gt;"",'ENC to Device Cables'!G575,"")</f>
        <v/>
      </c>
      <c r="C496" t="str">
        <f>IF(A496&lt;&gt;"",'ENC to Device Cables'!H575,"")</f>
        <v/>
      </c>
      <c r="D496" s="1" t="str">
        <f>IF(A496&lt;&gt;"",'ENC to Device Cables'!I575,"")</f>
        <v/>
      </c>
    </row>
    <row r="497" spans="1:4" x14ac:dyDescent="0.2">
      <c r="A497" t="str">
        <f>IF('ENC to Device Cables'!F576&lt;&gt;"",'ENC to Device Cables'!F576,"")</f>
        <v/>
      </c>
      <c r="B497" s="2" t="str">
        <f>IF(A497&lt;&gt;"",'ENC to Device Cables'!G576,"")</f>
        <v/>
      </c>
      <c r="C497" t="str">
        <f>IF(A497&lt;&gt;"",'ENC to Device Cables'!H576,"")</f>
        <v/>
      </c>
      <c r="D497" s="1" t="str">
        <f>IF(A497&lt;&gt;"",'ENC to Device Cables'!I576,"")</f>
        <v/>
      </c>
    </row>
    <row r="498" spans="1:4" x14ac:dyDescent="0.2">
      <c r="A498" t="str">
        <f>IF('ENC to Device Cables'!F577&lt;&gt;"",'ENC to Device Cables'!F577,"")</f>
        <v/>
      </c>
      <c r="B498" s="2" t="str">
        <f>IF(A498&lt;&gt;"",'ENC to Device Cables'!G577,"")</f>
        <v/>
      </c>
      <c r="C498" t="str">
        <f>IF(A498&lt;&gt;"",'ENC to Device Cables'!H577,"")</f>
        <v/>
      </c>
      <c r="D498" s="1" t="str">
        <f>IF(A498&lt;&gt;"",'ENC to Device Cables'!I577,"")</f>
        <v/>
      </c>
    </row>
    <row r="499" spans="1:4" x14ac:dyDescent="0.2">
      <c r="A499" t="str">
        <f>IF('ENC to Device Cables'!F578&lt;&gt;"",'ENC to Device Cables'!F578,"")</f>
        <v/>
      </c>
      <c r="B499" s="2" t="str">
        <f>IF(A499&lt;&gt;"",'ENC to Device Cables'!G578,"")</f>
        <v/>
      </c>
      <c r="C499" t="str">
        <f>IF(A499&lt;&gt;"",'ENC to Device Cables'!H578,"")</f>
        <v/>
      </c>
      <c r="D499" s="1" t="str">
        <f>IF(A499&lt;&gt;"",'ENC to Device Cables'!I578,"")</f>
        <v/>
      </c>
    </row>
    <row r="500" spans="1:4" x14ac:dyDescent="0.2">
      <c r="A500" t="str">
        <f>IF('ENC to Device Cables'!F579&lt;&gt;"",'ENC to Device Cables'!F579,"")</f>
        <v/>
      </c>
      <c r="B500" s="2" t="str">
        <f>IF(A500&lt;&gt;"",'ENC to Device Cables'!G579,"")</f>
        <v/>
      </c>
      <c r="C500" t="str">
        <f>IF(A500&lt;&gt;"",'ENC to Device Cables'!H579,"")</f>
        <v/>
      </c>
      <c r="D500" s="1" t="str">
        <f>IF(A500&lt;&gt;"",'ENC to Device Cables'!I579,"")</f>
        <v/>
      </c>
    </row>
    <row r="501" spans="1:4" x14ac:dyDescent="0.2">
      <c r="A501" t="str">
        <f>IF('ENC to Device Cables'!F580&lt;&gt;"",'ENC to Device Cables'!F580,"")</f>
        <v/>
      </c>
      <c r="B501" s="2" t="str">
        <f>IF(A501&lt;&gt;"",'ENC to Device Cables'!G580,"")</f>
        <v/>
      </c>
      <c r="C501" t="str">
        <f>IF(A501&lt;&gt;"",'ENC to Device Cables'!H580,"")</f>
        <v/>
      </c>
      <c r="D501" s="1" t="str">
        <f>IF(A501&lt;&gt;"",'ENC to Device Cables'!I580,"")</f>
        <v/>
      </c>
    </row>
    <row r="502" spans="1:4" x14ac:dyDescent="0.2">
      <c r="A502" t="str">
        <f>IF('ENC to Device Cables'!F581&lt;&gt;"",'ENC to Device Cables'!F581,"")</f>
        <v/>
      </c>
      <c r="B502" s="2" t="str">
        <f>IF(A502&lt;&gt;"",'ENC to Device Cables'!G581,"")</f>
        <v/>
      </c>
      <c r="C502" t="str">
        <f>IF(A502&lt;&gt;"",'ENC to Device Cables'!H581,"")</f>
        <v/>
      </c>
      <c r="D502" s="1" t="str">
        <f>IF(A502&lt;&gt;"",'ENC to Device Cables'!I581,"")</f>
        <v/>
      </c>
    </row>
    <row r="503" spans="1:4" x14ac:dyDescent="0.2">
      <c r="A503" t="str">
        <f>IF('ENC to Device Cables'!F582&lt;&gt;"",'ENC to Device Cables'!F582,"")</f>
        <v/>
      </c>
      <c r="B503" s="2" t="str">
        <f>IF(A503&lt;&gt;"",'ENC to Device Cables'!G582,"")</f>
        <v/>
      </c>
      <c r="C503" t="str">
        <f>IF(A503&lt;&gt;"",'ENC to Device Cables'!H582,"")</f>
        <v/>
      </c>
      <c r="D503" s="1" t="str">
        <f>IF(A503&lt;&gt;"",'ENC to Device Cables'!I582,"")</f>
        <v/>
      </c>
    </row>
    <row r="504" spans="1:4" x14ac:dyDescent="0.2">
      <c r="A504" t="str">
        <f>IF('ENC to Device Cables'!F583&lt;&gt;"",'ENC to Device Cables'!F583,"")</f>
        <v/>
      </c>
      <c r="B504" s="2" t="str">
        <f>IF(A504&lt;&gt;"",'ENC to Device Cables'!G583,"")</f>
        <v/>
      </c>
      <c r="C504" t="str">
        <f>IF(A504&lt;&gt;"",'ENC to Device Cables'!H583,"")</f>
        <v/>
      </c>
      <c r="D504" s="1" t="str">
        <f>IF(A504&lt;&gt;"",'ENC to Device Cables'!I583,"")</f>
        <v/>
      </c>
    </row>
    <row r="505" spans="1:4" x14ac:dyDescent="0.2">
      <c r="A505" t="str">
        <f>IF('ENC to Device Cables'!F584&lt;&gt;"",'ENC to Device Cables'!F584,"")</f>
        <v/>
      </c>
      <c r="B505" s="2" t="str">
        <f>IF(A505&lt;&gt;"",'ENC to Device Cables'!G584,"")</f>
        <v/>
      </c>
      <c r="C505" t="str">
        <f>IF(A505&lt;&gt;"",'ENC to Device Cables'!H584,"")</f>
        <v/>
      </c>
      <c r="D505" s="1" t="str">
        <f>IF(A505&lt;&gt;"",'ENC to Device Cables'!I584,"")</f>
        <v/>
      </c>
    </row>
    <row r="506" spans="1:4" x14ac:dyDescent="0.2">
      <c r="A506" t="str">
        <f>IF('ENC to Device Cables'!F585&lt;&gt;"",'ENC to Device Cables'!F585,"")</f>
        <v/>
      </c>
      <c r="B506" s="2" t="str">
        <f>IF(A506&lt;&gt;"",'ENC to Device Cables'!G585,"")</f>
        <v/>
      </c>
      <c r="C506" t="str">
        <f>IF(A506&lt;&gt;"",'ENC to Device Cables'!H585,"")</f>
        <v/>
      </c>
      <c r="D506" s="1" t="str">
        <f>IF(A506&lt;&gt;"",'ENC to Device Cables'!I585,"")</f>
        <v/>
      </c>
    </row>
    <row r="507" spans="1:4" x14ac:dyDescent="0.2">
      <c r="A507" t="str">
        <f>IF('ENC to Device Cables'!F586&lt;&gt;"",'ENC to Device Cables'!F586,"")</f>
        <v/>
      </c>
      <c r="B507" s="2" t="str">
        <f>IF(A507&lt;&gt;"",'ENC to Device Cables'!G586,"")</f>
        <v/>
      </c>
      <c r="C507" t="str">
        <f>IF(A507&lt;&gt;"",'ENC to Device Cables'!H586,"")</f>
        <v/>
      </c>
      <c r="D507" s="1" t="str">
        <f>IF(A507&lt;&gt;"",'ENC to Device Cables'!I586,"")</f>
        <v/>
      </c>
    </row>
    <row r="508" spans="1:4" x14ac:dyDescent="0.2">
      <c r="A508" t="str">
        <f>IF('ENC to Device Cables'!F587&lt;&gt;"",'ENC to Device Cables'!F587,"")</f>
        <v/>
      </c>
      <c r="B508" s="2" t="str">
        <f>IF(A508&lt;&gt;"",'ENC to Device Cables'!G587,"")</f>
        <v/>
      </c>
      <c r="C508" t="str">
        <f>IF(A508&lt;&gt;"",'ENC to Device Cables'!H587,"")</f>
        <v/>
      </c>
      <c r="D508" s="1" t="str">
        <f>IF(A508&lt;&gt;"",'ENC to Device Cables'!I587,"")</f>
        <v/>
      </c>
    </row>
    <row r="509" spans="1:4" x14ac:dyDescent="0.2">
      <c r="A509" t="str">
        <f>IF('ENC to Device Cables'!F588&lt;&gt;"",'ENC to Device Cables'!F588,"")</f>
        <v/>
      </c>
      <c r="B509" s="2" t="str">
        <f>IF(A509&lt;&gt;"",'ENC to Device Cables'!G588,"")</f>
        <v/>
      </c>
      <c r="C509" t="str">
        <f>IF(A509&lt;&gt;"",'ENC to Device Cables'!H588,"")</f>
        <v/>
      </c>
      <c r="D509" s="1" t="str">
        <f>IF(A509&lt;&gt;"",'ENC to Device Cables'!I588,"")</f>
        <v/>
      </c>
    </row>
    <row r="510" spans="1:4" x14ac:dyDescent="0.2">
      <c r="A510" t="str">
        <f>IF('ENC to Device Cables'!F589&lt;&gt;"",'ENC to Device Cables'!F589,"")</f>
        <v/>
      </c>
      <c r="B510" s="2" t="str">
        <f>IF(A510&lt;&gt;"",'ENC to Device Cables'!G589,"")</f>
        <v/>
      </c>
      <c r="C510" t="str">
        <f>IF(A510&lt;&gt;"",'ENC to Device Cables'!H589,"")</f>
        <v/>
      </c>
      <c r="D510" s="1" t="str">
        <f>IF(A510&lt;&gt;"",'ENC to Device Cables'!I589,"")</f>
        <v/>
      </c>
    </row>
    <row r="511" spans="1:4" x14ac:dyDescent="0.2">
      <c r="A511" t="str">
        <f>IF('ENC to Device Cables'!F590&lt;&gt;"",'ENC to Device Cables'!F590,"")</f>
        <v/>
      </c>
      <c r="B511" s="2" t="str">
        <f>IF(A511&lt;&gt;"",'ENC to Device Cables'!G590,"")</f>
        <v/>
      </c>
      <c r="C511" t="str">
        <f>IF(A511&lt;&gt;"",'ENC to Device Cables'!H590,"")</f>
        <v/>
      </c>
      <c r="D511" s="1" t="str">
        <f>IF(A511&lt;&gt;"",'ENC to Device Cables'!I590,"")</f>
        <v/>
      </c>
    </row>
    <row r="512" spans="1:4" x14ac:dyDescent="0.2">
      <c r="A512" t="str">
        <f>IF('ENC to Device Cables'!F591&lt;&gt;"",'ENC to Device Cables'!F591,"")</f>
        <v/>
      </c>
      <c r="B512" s="2" t="str">
        <f>IF(A512&lt;&gt;"",'ENC to Device Cables'!G591,"")</f>
        <v/>
      </c>
      <c r="C512" t="str">
        <f>IF(A512&lt;&gt;"",'ENC to Device Cables'!H591,"")</f>
        <v/>
      </c>
      <c r="D512" s="1" t="str">
        <f>IF(A512&lt;&gt;"",'ENC to Device Cables'!I591,"")</f>
        <v/>
      </c>
    </row>
    <row r="513" spans="1:4" x14ac:dyDescent="0.2">
      <c r="A513" t="str">
        <f>IF('ENC to Device Cables'!F592&lt;&gt;"",'ENC to Device Cables'!F592,"")</f>
        <v/>
      </c>
      <c r="B513" s="2" t="str">
        <f>IF(A513&lt;&gt;"",'ENC to Device Cables'!G592,"")</f>
        <v/>
      </c>
      <c r="C513" t="str">
        <f>IF(A513&lt;&gt;"",'ENC to Device Cables'!H592,"")</f>
        <v/>
      </c>
      <c r="D513" s="1" t="str">
        <f>IF(A513&lt;&gt;"",'ENC to Device Cables'!I592,"")</f>
        <v/>
      </c>
    </row>
    <row r="514" spans="1:4" x14ac:dyDescent="0.2">
      <c r="A514" t="str">
        <f>IF('ENC to Device Cables'!F593&lt;&gt;"",'ENC to Device Cables'!F593,"")</f>
        <v/>
      </c>
      <c r="B514" s="2" t="str">
        <f>IF(A514&lt;&gt;"",'ENC to Device Cables'!G593,"")</f>
        <v/>
      </c>
      <c r="C514" t="str">
        <f>IF(A514&lt;&gt;"",'ENC to Device Cables'!H593,"")</f>
        <v/>
      </c>
      <c r="D514" s="1" t="str">
        <f>IF(A514&lt;&gt;"",'ENC to Device Cables'!I593,"")</f>
        <v/>
      </c>
    </row>
    <row r="515" spans="1:4" x14ac:dyDescent="0.2">
      <c r="A515" t="str">
        <f>IF('ENC to Device Cables'!F594&lt;&gt;"",'ENC to Device Cables'!F594,"")</f>
        <v/>
      </c>
      <c r="B515" s="2" t="str">
        <f>IF(A515&lt;&gt;"",'ENC to Device Cables'!G594,"")</f>
        <v/>
      </c>
      <c r="C515" t="str">
        <f>IF(A515&lt;&gt;"",'ENC to Device Cables'!H594,"")</f>
        <v/>
      </c>
      <c r="D515" s="1" t="str">
        <f>IF(A515&lt;&gt;"",'ENC to Device Cables'!I594,"")</f>
        <v/>
      </c>
    </row>
    <row r="516" spans="1:4" x14ac:dyDescent="0.2">
      <c r="A516" t="str">
        <f>IF('ENC to Device Cables'!F595&lt;&gt;"",'ENC to Device Cables'!F595,"")</f>
        <v/>
      </c>
      <c r="B516" s="2" t="str">
        <f>IF(A516&lt;&gt;"",'ENC to Device Cables'!G595,"")</f>
        <v/>
      </c>
      <c r="C516" t="str">
        <f>IF(A516&lt;&gt;"",'ENC to Device Cables'!H595,"")</f>
        <v/>
      </c>
      <c r="D516" s="1" t="str">
        <f>IF(A516&lt;&gt;"",'ENC to Device Cables'!I595,"")</f>
        <v/>
      </c>
    </row>
    <row r="517" spans="1:4" x14ac:dyDescent="0.2">
      <c r="A517" t="str">
        <f>IF('ENC to Device Cables'!F596&lt;&gt;"",'ENC to Device Cables'!F596,"")</f>
        <v/>
      </c>
      <c r="B517" s="2" t="str">
        <f>IF(A517&lt;&gt;"",'ENC to Device Cables'!G596,"")</f>
        <v/>
      </c>
      <c r="C517" t="str">
        <f>IF(A517&lt;&gt;"",'ENC to Device Cables'!H596,"")</f>
        <v/>
      </c>
      <c r="D517" s="1" t="str">
        <f>IF(A517&lt;&gt;"",'ENC to Device Cables'!I596,"")</f>
        <v/>
      </c>
    </row>
    <row r="518" spans="1:4" x14ac:dyDescent="0.2">
      <c r="A518" t="str">
        <f>IF('ENC to Device Cables'!F597&lt;&gt;"",'ENC to Device Cables'!F597,"")</f>
        <v/>
      </c>
      <c r="B518" s="2" t="str">
        <f>IF(A518&lt;&gt;"",'ENC to Device Cables'!G597,"")</f>
        <v/>
      </c>
      <c r="C518" t="str">
        <f>IF(A518&lt;&gt;"",'ENC to Device Cables'!H597,"")</f>
        <v/>
      </c>
      <c r="D518" s="1" t="str">
        <f>IF(A518&lt;&gt;"",'ENC to Device Cables'!I597,"")</f>
        <v/>
      </c>
    </row>
    <row r="519" spans="1:4" x14ac:dyDescent="0.2">
      <c r="A519" t="str">
        <f>IF('ENC to Device Cables'!F598&lt;&gt;"",'ENC to Device Cables'!F598,"")</f>
        <v/>
      </c>
      <c r="B519" s="2" t="str">
        <f>IF(A519&lt;&gt;"",'ENC to Device Cables'!G598,"")</f>
        <v/>
      </c>
      <c r="C519" t="str">
        <f>IF(A519&lt;&gt;"",'ENC to Device Cables'!H598,"")</f>
        <v/>
      </c>
      <c r="D519" s="1" t="str">
        <f>IF(A519&lt;&gt;"",'ENC to Device Cables'!I598,"")</f>
        <v/>
      </c>
    </row>
    <row r="520" spans="1:4" x14ac:dyDescent="0.2">
      <c r="A520" t="str">
        <f>IF('ENC to Device Cables'!F599&lt;&gt;"",'ENC to Device Cables'!F599,"")</f>
        <v/>
      </c>
      <c r="B520" s="2" t="str">
        <f>IF(A520&lt;&gt;"",'ENC to Device Cables'!G599,"")</f>
        <v/>
      </c>
      <c r="C520" t="str">
        <f>IF(A520&lt;&gt;"",'ENC to Device Cables'!H599,"")</f>
        <v/>
      </c>
      <c r="D520" s="1" t="str">
        <f>IF(A520&lt;&gt;"",'ENC to Device Cables'!I599,"")</f>
        <v/>
      </c>
    </row>
    <row r="521" spans="1:4" x14ac:dyDescent="0.2">
      <c r="A521" t="str">
        <f>IF('ENC to Device Cables'!F600&lt;&gt;"",'ENC to Device Cables'!F600,"")</f>
        <v/>
      </c>
      <c r="B521" s="2" t="str">
        <f>IF(A521&lt;&gt;"",'ENC to Device Cables'!G600,"")</f>
        <v/>
      </c>
      <c r="C521" t="str">
        <f>IF(A521&lt;&gt;"",'ENC to Device Cables'!H600,"")</f>
        <v/>
      </c>
      <c r="D521" s="1" t="str">
        <f>IF(A521&lt;&gt;"",'ENC to Device Cables'!I600,"")</f>
        <v/>
      </c>
    </row>
    <row r="522" spans="1:4" x14ac:dyDescent="0.2">
      <c r="A522" t="str">
        <f>IF('ENC to Device Cables'!F601&lt;&gt;"",'ENC to Device Cables'!F601,"")</f>
        <v/>
      </c>
      <c r="B522" s="2" t="str">
        <f>IF(A522&lt;&gt;"",'ENC to Device Cables'!G601,"")</f>
        <v/>
      </c>
      <c r="C522" t="str">
        <f>IF(A522&lt;&gt;"",'ENC to Device Cables'!H601,"")</f>
        <v/>
      </c>
      <c r="D522" s="1" t="str">
        <f>IF(A522&lt;&gt;"",'ENC to Device Cables'!I601,"")</f>
        <v/>
      </c>
    </row>
    <row r="523" spans="1:4" x14ac:dyDescent="0.2">
      <c r="A523" t="str">
        <f>IF('ENC to Device Cables'!F602&lt;&gt;"",'ENC to Device Cables'!F602,"")</f>
        <v/>
      </c>
      <c r="B523" s="2" t="str">
        <f>IF(A523&lt;&gt;"",'ENC to Device Cables'!G602,"")</f>
        <v/>
      </c>
      <c r="C523" t="str">
        <f>IF(A523&lt;&gt;"",'ENC to Device Cables'!H602,"")</f>
        <v/>
      </c>
      <c r="D523" s="1" t="str">
        <f>IF(A523&lt;&gt;"",'ENC to Device Cables'!I602,"")</f>
        <v/>
      </c>
    </row>
    <row r="524" spans="1:4" x14ac:dyDescent="0.2">
      <c r="A524" t="str">
        <f>IF('ENC to Device Cables'!F603&lt;&gt;"",'ENC to Device Cables'!F603,"")</f>
        <v/>
      </c>
      <c r="B524" s="2" t="str">
        <f>IF(A524&lt;&gt;"",'ENC to Device Cables'!G603,"")</f>
        <v/>
      </c>
      <c r="C524" t="str">
        <f>IF(A524&lt;&gt;"",'ENC to Device Cables'!H603,"")</f>
        <v/>
      </c>
      <c r="D524" s="1" t="str">
        <f>IF(A524&lt;&gt;"",'ENC to Device Cables'!I603,"")</f>
        <v/>
      </c>
    </row>
    <row r="525" spans="1:4" x14ac:dyDescent="0.2">
      <c r="A525" t="str">
        <f>IF('ENC to Device Cables'!F604&lt;&gt;"",'ENC to Device Cables'!F604,"")</f>
        <v/>
      </c>
      <c r="B525" s="2" t="str">
        <f>IF(A525&lt;&gt;"",'ENC to Device Cables'!G604,"")</f>
        <v/>
      </c>
      <c r="C525" t="str">
        <f>IF(A525&lt;&gt;"",'ENC to Device Cables'!H604,"")</f>
        <v/>
      </c>
      <c r="D525" s="1" t="str">
        <f>IF(A525&lt;&gt;"",'ENC to Device Cables'!I604,"")</f>
        <v/>
      </c>
    </row>
    <row r="526" spans="1:4" x14ac:dyDescent="0.2">
      <c r="A526" t="str">
        <f>IF('ENC to Device Cables'!F605&lt;&gt;"",'ENC to Device Cables'!F605,"")</f>
        <v/>
      </c>
      <c r="B526" s="2" t="str">
        <f>IF(A526&lt;&gt;"",'ENC to Device Cables'!G605,"")</f>
        <v/>
      </c>
      <c r="C526" t="str">
        <f>IF(A526&lt;&gt;"",'ENC to Device Cables'!H605,"")</f>
        <v/>
      </c>
      <c r="D526" s="1" t="str">
        <f>IF(A526&lt;&gt;"",'ENC to Device Cables'!I605,"")</f>
        <v/>
      </c>
    </row>
    <row r="527" spans="1:4" x14ac:dyDescent="0.2">
      <c r="A527" t="str">
        <f>IF('ENC to Device Cables'!F606&lt;&gt;"",'ENC to Device Cables'!F606,"")</f>
        <v/>
      </c>
      <c r="B527" s="2" t="str">
        <f>IF(A527&lt;&gt;"",'ENC to Device Cables'!G606,"")</f>
        <v/>
      </c>
      <c r="C527" t="str">
        <f>IF(A527&lt;&gt;"",'ENC to Device Cables'!H606,"")</f>
        <v/>
      </c>
      <c r="D527" s="1" t="str">
        <f>IF(A527&lt;&gt;"",'ENC to Device Cables'!I606,"")</f>
        <v/>
      </c>
    </row>
    <row r="528" spans="1:4" x14ac:dyDescent="0.2">
      <c r="A528" t="str">
        <f>IF('ENC to Device Cables'!F607&lt;&gt;"",'ENC to Device Cables'!F607,"")</f>
        <v/>
      </c>
      <c r="B528" s="2" t="str">
        <f>IF(A528&lt;&gt;"",'ENC to Device Cables'!G607,"")</f>
        <v/>
      </c>
      <c r="C528" t="str">
        <f>IF(A528&lt;&gt;"",'ENC to Device Cables'!H607,"")</f>
        <v/>
      </c>
      <c r="D528" s="1" t="str">
        <f>IF(A528&lt;&gt;"",'ENC to Device Cables'!I607,"")</f>
        <v/>
      </c>
    </row>
    <row r="529" spans="1:4" x14ac:dyDescent="0.2">
      <c r="A529" t="str">
        <f>IF('ENC to Device Cables'!F608&lt;&gt;"",'ENC to Device Cables'!F608,"")</f>
        <v/>
      </c>
      <c r="B529" s="2" t="str">
        <f>IF(A529&lt;&gt;"",'ENC to Device Cables'!G608,"")</f>
        <v/>
      </c>
      <c r="C529" t="str">
        <f>IF(A529&lt;&gt;"",'ENC to Device Cables'!H608,"")</f>
        <v/>
      </c>
      <c r="D529" s="1" t="str">
        <f>IF(A529&lt;&gt;"",'ENC to Device Cables'!I608,"")</f>
        <v/>
      </c>
    </row>
    <row r="530" spans="1:4" x14ac:dyDescent="0.2">
      <c r="A530" t="str">
        <f>IF('ENC to Device Cables'!F609&lt;&gt;"",'ENC to Device Cables'!F609,"")</f>
        <v/>
      </c>
      <c r="B530" s="2" t="str">
        <f>IF(A530&lt;&gt;"",'ENC to Device Cables'!G609,"")</f>
        <v/>
      </c>
      <c r="C530" t="str">
        <f>IF(A530&lt;&gt;"",'ENC to Device Cables'!H609,"")</f>
        <v/>
      </c>
      <c r="D530" s="1" t="str">
        <f>IF(A530&lt;&gt;"",'ENC to Device Cables'!I609,"")</f>
        <v/>
      </c>
    </row>
    <row r="531" spans="1:4" x14ac:dyDescent="0.2">
      <c r="A531" t="str">
        <f>IF('ENC to Device Cables'!F610&lt;&gt;"",'ENC to Device Cables'!F610,"")</f>
        <v/>
      </c>
      <c r="B531" s="2" t="str">
        <f>IF(A531&lt;&gt;"",'ENC to Device Cables'!G610,"")</f>
        <v/>
      </c>
      <c r="C531" t="str">
        <f>IF(A531&lt;&gt;"",'ENC to Device Cables'!H610,"")</f>
        <v/>
      </c>
      <c r="D531" s="1" t="str">
        <f>IF(A531&lt;&gt;"",'ENC to Device Cables'!I610,"")</f>
        <v/>
      </c>
    </row>
    <row r="532" spans="1:4" x14ac:dyDescent="0.2">
      <c r="A532" t="str">
        <f>IF('ENC to Device Cables'!F611&lt;&gt;"",'ENC to Device Cables'!F611,"")</f>
        <v/>
      </c>
      <c r="B532" s="2" t="str">
        <f>IF(A532&lt;&gt;"",'ENC to Device Cables'!G611,"")</f>
        <v/>
      </c>
      <c r="C532" t="str">
        <f>IF(A532&lt;&gt;"",'ENC to Device Cables'!H611,"")</f>
        <v/>
      </c>
      <c r="D532" s="1" t="str">
        <f>IF(A532&lt;&gt;"",'ENC to Device Cables'!I611,"")</f>
        <v/>
      </c>
    </row>
    <row r="533" spans="1:4" x14ac:dyDescent="0.2">
      <c r="A533" t="str">
        <f>IF('ENC to Device Cables'!F612&lt;&gt;"",'ENC to Device Cables'!F612,"")</f>
        <v/>
      </c>
      <c r="B533" s="2" t="str">
        <f>IF(A533&lt;&gt;"",'ENC to Device Cables'!G612,"")</f>
        <v/>
      </c>
      <c r="C533" t="str">
        <f>IF(A533&lt;&gt;"",'ENC to Device Cables'!H612,"")</f>
        <v/>
      </c>
      <c r="D533" s="1" t="str">
        <f>IF(A533&lt;&gt;"",'ENC to Device Cables'!I612,"")</f>
        <v/>
      </c>
    </row>
    <row r="534" spans="1:4" x14ac:dyDescent="0.2">
      <c r="A534" t="str">
        <f>IF('ENC to Device Cables'!F613&lt;&gt;"",'ENC to Device Cables'!F613,"")</f>
        <v/>
      </c>
      <c r="B534" s="2" t="str">
        <f>IF(A534&lt;&gt;"",'ENC to Device Cables'!G613,"")</f>
        <v/>
      </c>
      <c r="C534" t="str">
        <f>IF(A534&lt;&gt;"",'ENC to Device Cables'!H613,"")</f>
        <v/>
      </c>
      <c r="D534" s="1" t="str">
        <f>IF(A534&lt;&gt;"",'ENC to Device Cables'!I613,"")</f>
        <v/>
      </c>
    </row>
    <row r="535" spans="1:4" x14ac:dyDescent="0.2">
      <c r="A535" t="str">
        <f>IF('ENC to Device Cables'!F614&lt;&gt;"",'ENC to Device Cables'!F614,"")</f>
        <v/>
      </c>
      <c r="B535" s="2" t="str">
        <f>IF(A535&lt;&gt;"",'ENC to Device Cables'!G614,"")</f>
        <v/>
      </c>
      <c r="C535" t="str">
        <f>IF(A535&lt;&gt;"",'ENC to Device Cables'!H614,"")</f>
        <v/>
      </c>
      <c r="D535" s="1" t="str">
        <f>IF(A535&lt;&gt;"",'ENC to Device Cables'!I614,"")</f>
        <v/>
      </c>
    </row>
    <row r="536" spans="1:4" x14ac:dyDescent="0.2">
      <c r="A536" t="str">
        <f>IF('ENC to Device Cables'!F615&lt;&gt;"",'ENC to Device Cables'!F615,"")</f>
        <v/>
      </c>
      <c r="B536" s="2" t="str">
        <f>IF(A536&lt;&gt;"",'ENC to Device Cables'!G615,"")</f>
        <v/>
      </c>
      <c r="C536" t="str">
        <f>IF(A536&lt;&gt;"",'ENC to Device Cables'!H615,"")</f>
        <v/>
      </c>
      <c r="D536" s="1" t="str">
        <f>IF(A536&lt;&gt;"",'ENC to Device Cables'!I615,"")</f>
        <v/>
      </c>
    </row>
    <row r="537" spans="1:4" x14ac:dyDescent="0.2">
      <c r="A537" t="str">
        <f>IF('ENC to Device Cables'!F616&lt;&gt;"",'ENC to Device Cables'!F616,"")</f>
        <v/>
      </c>
      <c r="B537" s="2" t="str">
        <f>IF(A537&lt;&gt;"",'ENC to Device Cables'!G616,"")</f>
        <v/>
      </c>
      <c r="C537" t="str">
        <f>IF(A537&lt;&gt;"",'ENC to Device Cables'!H616,"")</f>
        <v/>
      </c>
      <c r="D537" s="1" t="str">
        <f>IF(A537&lt;&gt;"",'ENC to Device Cables'!I616,"")</f>
        <v/>
      </c>
    </row>
    <row r="538" spans="1:4" x14ac:dyDescent="0.2">
      <c r="A538" t="str">
        <f>IF('ENC to Device Cables'!F617&lt;&gt;"",'ENC to Device Cables'!F617,"")</f>
        <v/>
      </c>
      <c r="B538" s="2" t="str">
        <f>IF(A538&lt;&gt;"",'ENC to Device Cables'!G617,"")</f>
        <v/>
      </c>
      <c r="C538" t="str">
        <f>IF(A538&lt;&gt;"",'ENC to Device Cables'!H617,"")</f>
        <v/>
      </c>
      <c r="D538" s="1" t="str">
        <f>IF(A538&lt;&gt;"",'ENC to Device Cables'!I617,"")</f>
        <v/>
      </c>
    </row>
    <row r="539" spans="1:4" x14ac:dyDescent="0.2">
      <c r="A539" t="str">
        <f>IF('ENC to Device Cables'!F618&lt;&gt;"",'ENC to Device Cables'!F618,"")</f>
        <v/>
      </c>
      <c r="B539" s="2" t="str">
        <f>IF(A539&lt;&gt;"",'ENC to Device Cables'!G618,"")</f>
        <v/>
      </c>
      <c r="C539" t="str">
        <f>IF(A539&lt;&gt;"",'ENC to Device Cables'!H618,"")</f>
        <v/>
      </c>
      <c r="D539" s="1" t="str">
        <f>IF(A539&lt;&gt;"",'ENC to Device Cables'!I618,"")</f>
        <v/>
      </c>
    </row>
    <row r="540" spans="1:4" x14ac:dyDescent="0.2">
      <c r="A540" t="str">
        <f>IF('ENC to Device Cables'!F619&lt;&gt;"",'ENC to Device Cables'!F619,"")</f>
        <v/>
      </c>
      <c r="B540" s="2" t="str">
        <f>IF(A540&lt;&gt;"",'ENC to Device Cables'!G619,"")</f>
        <v/>
      </c>
      <c r="C540" t="str">
        <f>IF(A540&lt;&gt;"",'ENC to Device Cables'!H619,"")</f>
        <v/>
      </c>
      <c r="D540" s="1" t="str">
        <f>IF(A540&lt;&gt;"",'ENC to Device Cables'!I619,"")</f>
        <v/>
      </c>
    </row>
    <row r="541" spans="1:4" x14ac:dyDescent="0.2">
      <c r="A541" t="str">
        <f>IF('ENC to Device Cables'!F620&lt;&gt;"",'ENC to Device Cables'!F620,"")</f>
        <v/>
      </c>
      <c r="B541" s="2" t="str">
        <f>IF(A541&lt;&gt;"",'ENC to Device Cables'!G620,"")</f>
        <v/>
      </c>
      <c r="C541" t="str">
        <f>IF(A541&lt;&gt;"",'ENC to Device Cables'!H620,"")</f>
        <v/>
      </c>
      <c r="D541" s="1" t="str">
        <f>IF(A541&lt;&gt;"",'ENC to Device Cables'!I620,"")</f>
        <v/>
      </c>
    </row>
    <row r="542" spans="1:4" x14ac:dyDescent="0.2">
      <c r="A542" t="str">
        <f>IF('ENC to Device Cables'!F621&lt;&gt;"",'ENC to Device Cables'!F621,"")</f>
        <v/>
      </c>
      <c r="B542" s="2" t="str">
        <f>IF(A542&lt;&gt;"",'ENC to Device Cables'!G621,"")</f>
        <v/>
      </c>
      <c r="C542" t="str">
        <f>IF(A542&lt;&gt;"",'ENC to Device Cables'!H621,"")</f>
        <v/>
      </c>
      <c r="D542" s="1" t="str">
        <f>IF(A542&lt;&gt;"",'ENC to Device Cables'!I621,"")</f>
        <v/>
      </c>
    </row>
    <row r="543" spans="1:4" x14ac:dyDescent="0.2">
      <c r="A543" t="str">
        <f>IF('ENC to Device Cables'!F622&lt;&gt;"",'ENC to Device Cables'!F622,"")</f>
        <v/>
      </c>
      <c r="B543" s="2" t="str">
        <f>IF(A543&lt;&gt;"",'ENC to Device Cables'!G622,"")</f>
        <v/>
      </c>
      <c r="C543" t="str">
        <f>IF(A543&lt;&gt;"",'ENC to Device Cables'!H622,"")</f>
        <v/>
      </c>
      <c r="D543" s="1" t="str">
        <f>IF(A543&lt;&gt;"",'ENC to Device Cables'!I622,"")</f>
        <v/>
      </c>
    </row>
    <row r="544" spans="1:4" x14ac:dyDescent="0.2">
      <c r="A544" t="str">
        <f>IF('ENC to Device Cables'!F623&lt;&gt;"",'ENC to Device Cables'!F623,"")</f>
        <v/>
      </c>
      <c r="B544" s="2" t="str">
        <f>IF(A544&lt;&gt;"",'ENC to Device Cables'!G623,"")</f>
        <v/>
      </c>
      <c r="C544" t="str">
        <f>IF(A544&lt;&gt;"",'ENC to Device Cables'!H623,"")</f>
        <v/>
      </c>
      <c r="D544" s="1" t="str">
        <f>IF(A544&lt;&gt;"",'ENC to Device Cables'!I623,"")</f>
        <v/>
      </c>
    </row>
    <row r="545" spans="1:4" x14ac:dyDescent="0.2">
      <c r="A545" t="str">
        <f>IF('ENC to Device Cables'!F624&lt;&gt;"",'ENC to Device Cables'!F624,"")</f>
        <v/>
      </c>
      <c r="B545" s="2" t="str">
        <f>IF(A545&lt;&gt;"",'ENC to Device Cables'!G624,"")</f>
        <v/>
      </c>
      <c r="C545" t="str">
        <f>IF(A545&lt;&gt;"",'ENC to Device Cables'!H624,"")</f>
        <v/>
      </c>
      <c r="D545" s="1" t="str">
        <f>IF(A545&lt;&gt;"",'ENC to Device Cables'!I624,"")</f>
        <v/>
      </c>
    </row>
    <row r="546" spans="1:4" x14ac:dyDescent="0.2">
      <c r="A546" t="str">
        <f>IF('ENC to Device Cables'!F625&lt;&gt;"",'ENC to Device Cables'!F625,"")</f>
        <v/>
      </c>
      <c r="B546" s="2" t="str">
        <f>IF(A546&lt;&gt;"",'ENC to Device Cables'!G625,"")</f>
        <v/>
      </c>
      <c r="C546" t="str">
        <f>IF(A546&lt;&gt;"",'ENC to Device Cables'!H625,"")</f>
        <v/>
      </c>
      <c r="D546" s="1" t="str">
        <f>IF(A546&lt;&gt;"",'ENC to Device Cables'!I625,"")</f>
        <v/>
      </c>
    </row>
    <row r="547" spans="1:4" x14ac:dyDescent="0.2">
      <c r="A547" t="str">
        <f>IF('ENC to Device Cables'!F626&lt;&gt;"",'ENC to Device Cables'!F626,"")</f>
        <v/>
      </c>
      <c r="B547" s="2" t="str">
        <f>IF(A547&lt;&gt;"",'ENC to Device Cables'!G626,"")</f>
        <v/>
      </c>
      <c r="C547" t="str">
        <f>IF(A547&lt;&gt;"",'ENC to Device Cables'!H626,"")</f>
        <v/>
      </c>
      <c r="D547" s="1" t="str">
        <f>IF(A547&lt;&gt;"",'ENC to Device Cables'!I626,"")</f>
        <v/>
      </c>
    </row>
    <row r="548" spans="1:4" x14ac:dyDescent="0.2">
      <c r="A548" t="str">
        <f>IF('ENC to Device Cables'!F627&lt;&gt;"",'ENC to Device Cables'!F627,"")</f>
        <v/>
      </c>
      <c r="B548" s="2" t="str">
        <f>IF(A548&lt;&gt;"",'ENC to Device Cables'!G627,"")</f>
        <v/>
      </c>
      <c r="C548" t="str">
        <f>IF(A548&lt;&gt;"",'ENC to Device Cables'!H627,"")</f>
        <v/>
      </c>
      <c r="D548" s="1" t="str">
        <f>IF(A548&lt;&gt;"",'ENC to Device Cables'!I627,"")</f>
        <v/>
      </c>
    </row>
    <row r="549" spans="1:4" x14ac:dyDescent="0.2">
      <c r="A549" t="str">
        <f>IF('ENC to Device Cables'!F628&lt;&gt;"",'ENC to Device Cables'!F628,"")</f>
        <v/>
      </c>
      <c r="B549" s="2" t="str">
        <f>IF(A549&lt;&gt;"",'ENC to Device Cables'!G628,"")</f>
        <v/>
      </c>
      <c r="C549" t="str">
        <f>IF(A549&lt;&gt;"",'ENC to Device Cables'!H628,"")</f>
        <v/>
      </c>
      <c r="D549" s="1" t="str">
        <f>IF(A549&lt;&gt;"",'ENC to Device Cables'!I628,"")</f>
        <v/>
      </c>
    </row>
    <row r="550" spans="1:4" x14ac:dyDescent="0.2">
      <c r="A550" t="str">
        <f>IF('ENC to Device Cables'!F629&lt;&gt;"",'ENC to Device Cables'!F629,"")</f>
        <v/>
      </c>
      <c r="B550" s="2" t="str">
        <f>IF(A550&lt;&gt;"",'ENC to Device Cables'!G629,"")</f>
        <v/>
      </c>
      <c r="C550" t="str">
        <f>IF(A550&lt;&gt;"",'ENC to Device Cables'!H629,"")</f>
        <v/>
      </c>
      <c r="D550" s="1" t="str">
        <f>IF(A550&lt;&gt;"",'ENC to Device Cables'!I629,"")</f>
        <v/>
      </c>
    </row>
    <row r="551" spans="1:4" x14ac:dyDescent="0.2">
      <c r="A551" t="str">
        <f>IF('ENC to Device Cables'!F630&lt;&gt;"",'ENC to Device Cables'!F630,"")</f>
        <v/>
      </c>
      <c r="B551" s="2" t="str">
        <f>IF(A551&lt;&gt;"",'ENC to Device Cables'!G630,"")</f>
        <v/>
      </c>
      <c r="C551" t="str">
        <f>IF(A551&lt;&gt;"",'ENC to Device Cables'!H630,"")</f>
        <v/>
      </c>
      <c r="D551" s="1" t="str">
        <f>IF(A551&lt;&gt;"",'ENC to Device Cables'!I630,"")</f>
        <v/>
      </c>
    </row>
    <row r="552" spans="1:4" x14ac:dyDescent="0.2">
      <c r="A552" t="str">
        <f>IF('ENC to Device Cables'!F631&lt;&gt;"",'ENC to Device Cables'!F631,"")</f>
        <v/>
      </c>
      <c r="B552" s="2" t="str">
        <f>IF(A552&lt;&gt;"",'ENC to Device Cables'!G631,"")</f>
        <v/>
      </c>
      <c r="C552" t="str">
        <f>IF(A552&lt;&gt;"",'ENC to Device Cables'!H631,"")</f>
        <v/>
      </c>
      <c r="D552" s="1" t="str">
        <f>IF(A552&lt;&gt;"",'ENC to Device Cables'!I631,"")</f>
        <v/>
      </c>
    </row>
    <row r="553" spans="1:4" x14ac:dyDescent="0.2">
      <c r="A553" t="str">
        <f>IF('ENC to Device Cables'!F632&lt;&gt;"",'ENC to Device Cables'!F632,"")</f>
        <v/>
      </c>
      <c r="B553" s="2" t="str">
        <f>IF(A553&lt;&gt;"",'ENC to Device Cables'!G632,"")</f>
        <v/>
      </c>
      <c r="C553" t="str">
        <f>IF(A553&lt;&gt;"",'ENC to Device Cables'!H632,"")</f>
        <v/>
      </c>
      <c r="D553" s="1" t="str">
        <f>IF(A553&lt;&gt;"",'ENC to Device Cables'!I632,"")</f>
        <v/>
      </c>
    </row>
    <row r="554" spans="1:4" x14ac:dyDescent="0.2">
      <c r="A554" t="str">
        <f>IF('ENC to Device Cables'!F633&lt;&gt;"",'ENC to Device Cables'!F633,"")</f>
        <v/>
      </c>
      <c r="B554" s="2" t="str">
        <f>IF(A554&lt;&gt;"",'ENC to Device Cables'!G633,"")</f>
        <v/>
      </c>
      <c r="C554" t="str">
        <f>IF(A554&lt;&gt;"",'ENC to Device Cables'!H633,"")</f>
        <v/>
      </c>
      <c r="D554" s="1" t="str">
        <f>IF(A554&lt;&gt;"",'ENC to Device Cables'!I633,"")</f>
        <v/>
      </c>
    </row>
    <row r="555" spans="1:4" x14ac:dyDescent="0.2">
      <c r="A555" t="str">
        <f>IF('ENC to Device Cables'!F634&lt;&gt;"",'ENC to Device Cables'!F634,"")</f>
        <v/>
      </c>
      <c r="B555" s="2" t="str">
        <f>IF(A555&lt;&gt;"",'ENC to Device Cables'!G634,"")</f>
        <v/>
      </c>
      <c r="C555" t="str">
        <f>IF(A555&lt;&gt;"",'ENC to Device Cables'!H634,"")</f>
        <v/>
      </c>
      <c r="D555" s="1" t="str">
        <f>IF(A555&lt;&gt;"",'ENC to Device Cables'!I634,"")</f>
        <v/>
      </c>
    </row>
    <row r="556" spans="1:4" x14ac:dyDescent="0.2">
      <c r="A556" t="str">
        <f>IF('ENC to Device Cables'!F635&lt;&gt;"",'ENC to Device Cables'!F635,"")</f>
        <v/>
      </c>
      <c r="B556" s="2" t="str">
        <f>IF(A556&lt;&gt;"",'ENC to Device Cables'!G635,"")</f>
        <v/>
      </c>
      <c r="C556" t="str">
        <f>IF(A556&lt;&gt;"",'ENC to Device Cables'!H635,"")</f>
        <v/>
      </c>
      <c r="D556" s="1" t="str">
        <f>IF(A556&lt;&gt;"",'ENC to Device Cables'!I635,"")</f>
        <v/>
      </c>
    </row>
    <row r="557" spans="1:4" x14ac:dyDescent="0.2">
      <c r="A557" t="str">
        <f>IF('ENC to Device Cables'!F636&lt;&gt;"",'ENC to Device Cables'!F636,"")</f>
        <v/>
      </c>
      <c r="B557" s="2" t="str">
        <f>IF(A557&lt;&gt;"",'ENC to Device Cables'!G636,"")</f>
        <v/>
      </c>
      <c r="C557" t="str">
        <f>IF(A557&lt;&gt;"",'ENC to Device Cables'!H636,"")</f>
        <v/>
      </c>
      <c r="D557" s="1" t="str">
        <f>IF(A557&lt;&gt;"",'ENC to Device Cables'!I636,"")</f>
        <v/>
      </c>
    </row>
    <row r="558" spans="1:4" x14ac:dyDescent="0.2">
      <c r="A558" t="str">
        <f>IF('ENC to Device Cables'!F637&lt;&gt;"",'ENC to Device Cables'!F637,"")</f>
        <v/>
      </c>
      <c r="B558" s="2" t="str">
        <f>IF(A558&lt;&gt;"",'ENC to Device Cables'!G637,"")</f>
        <v/>
      </c>
      <c r="C558" t="str">
        <f>IF(A558&lt;&gt;"",'ENC to Device Cables'!H637,"")</f>
        <v/>
      </c>
      <c r="D558" s="1" t="str">
        <f>IF(A558&lt;&gt;"",'ENC to Device Cables'!I637,"")</f>
        <v/>
      </c>
    </row>
    <row r="559" spans="1:4" x14ac:dyDescent="0.2">
      <c r="A559" t="str">
        <f>IF('ENC to Device Cables'!F638&lt;&gt;"",'ENC to Device Cables'!F638,"")</f>
        <v/>
      </c>
      <c r="B559" s="2" t="str">
        <f>IF(A559&lt;&gt;"",'ENC to Device Cables'!G638,"")</f>
        <v/>
      </c>
      <c r="C559" t="str">
        <f>IF(A559&lt;&gt;"",'ENC to Device Cables'!H638,"")</f>
        <v/>
      </c>
      <c r="D559" s="1" t="str">
        <f>IF(A559&lt;&gt;"",'ENC to Device Cables'!I638,"")</f>
        <v/>
      </c>
    </row>
    <row r="560" spans="1:4" x14ac:dyDescent="0.2">
      <c r="A560" t="str">
        <f>IF('ENC to Device Cables'!F639&lt;&gt;"",'ENC to Device Cables'!F639,"")</f>
        <v/>
      </c>
      <c r="B560" s="2" t="str">
        <f>IF(A560&lt;&gt;"",'ENC to Device Cables'!G639,"")</f>
        <v/>
      </c>
      <c r="C560" t="str">
        <f>IF(A560&lt;&gt;"",'ENC to Device Cables'!H639,"")</f>
        <v/>
      </c>
      <c r="D560" s="1" t="str">
        <f>IF(A560&lt;&gt;"",'ENC to Device Cables'!I639,"")</f>
        <v/>
      </c>
    </row>
    <row r="561" spans="1:4" x14ac:dyDescent="0.2">
      <c r="A561" t="str">
        <f>IF('ENC to Device Cables'!F640&lt;&gt;"",'ENC to Device Cables'!F640,"")</f>
        <v/>
      </c>
      <c r="B561" s="2" t="str">
        <f>IF(A561&lt;&gt;"",'ENC to Device Cables'!G640,"")</f>
        <v/>
      </c>
      <c r="C561" t="str">
        <f>IF(A561&lt;&gt;"",'ENC to Device Cables'!H640,"")</f>
        <v/>
      </c>
      <c r="D561" s="1" t="str">
        <f>IF(A561&lt;&gt;"",'ENC to Device Cables'!I640,"")</f>
        <v/>
      </c>
    </row>
    <row r="562" spans="1:4" x14ac:dyDescent="0.2">
      <c r="A562" t="str">
        <f>IF('ENC to Device Cables'!F641&lt;&gt;"",'ENC to Device Cables'!F641,"")</f>
        <v/>
      </c>
      <c r="B562" s="2" t="str">
        <f>IF(A562&lt;&gt;"",'ENC to Device Cables'!G641,"")</f>
        <v/>
      </c>
      <c r="C562" t="str">
        <f>IF(A562&lt;&gt;"",'ENC to Device Cables'!H641,"")</f>
        <v/>
      </c>
      <c r="D562" s="1" t="str">
        <f>IF(A562&lt;&gt;"",'ENC to Device Cables'!I641,"")</f>
        <v/>
      </c>
    </row>
    <row r="563" spans="1:4" x14ac:dyDescent="0.2">
      <c r="A563" t="str">
        <f>IF('ENC to Device Cables'!F642&lt;&gt;"",'ENC to Device Cables'!F642,"")</f>
        <v/>
      </c>
      <c r="B563" s="2" t="str">
        <f>IF(A563&lt;&gt;"",'ENC to Device Cables'!G642,"")</f>
        <v/>
      </c>
      <c r="C563" t="str">
        <f>IF(A563&lt;&gt;"",'ENC to Device Cables'!H642,"")</f>
        <v/>
      </c>
      <c r="D563" s="1" t="str">
        <f>IF(A563&lt;&gt;"",'ENC to Device Cables'!I642,"")</f>
        <v/>
      </c>
    </row>
    <row r="564" spans="1:4" x14ac:dyDescent="0.2">
      <c r="A564" t="str">
        <f>IF('ENC to Device Cables'!F643&lt;&gt;"",'ENC to Device Cables'!F643,"")</f>
        <v/>
      </c>
      <c r="B564" s="2" t="str">
        <f>IF(A564&lt;&gt;"",'ENC to Device Cables'!G643,"")</f>
        <v/>
      </c>
      <c r="C564" t="str">
        <f>IF(A564&lt;&gt;"",'ENC to Device Cables'!H643,"")</f>
        <v/>
      </c>
      <c r="D564" s="1" t="str">
        <f>IF(A564&lt;&gt;"",'ENC to Device Cables'!I643,"")</f>
        <v/>
      </c>
    </row>
    <row r="565" spans="1:4" x14ac:dyDescent="0.2">
      <c r="A565" t="str">
        <f>IF('ENC to Device Cables'!F644&lt;&gt;"",'ENC to Device Cables'!F644,"")</f>
        <v/>
      </c>
      <c r="B565" s="2" t="str">
        <f>IF(A565&lt;&gt;"",'ENC to Device Cables'!G644,"")</f>
        <v/>
      </c>
      <c r="C565" t="str">
        <f>IF(A565&lt;&gt;"",'ENC to Device Cables'!H644,"")</f>
        <v/>
      </c>
      <c r="D565" s="1" t="str">
        <f>IF(A565&lt;&gt;"",'ENC to Device Cables'!I644,"")</f>
        <v/>
      </c>
    </row>
    <row r="566" spans="1:4" x14ac:dyDescent="0.2">
      <c r="A566" t="str">
        <f>IF('ENC to Device Cables'!F645&lt;&gt;"",'ENC to Device Cables'!F645,"")</f>
        <v/>
      </c>
      <c r="B566" s="2" t="str">
        <f>IF(A566&lt;&gt;"",'ENC to Device Cables'!G645,"")</f>
        <v/>
      </c>
      <c r="C566" t="str">
        <f>IF(A566&lt;&gt;"",'ENC to Device Cables'!H645,"")</f>
        <v/>
      </c>
      <c r="D566" s="1" t="str">
        <f>IF(A566&lt;&gt;"",'ENC to Device Cables'!I645,"")</f>
        <v/>
      </c>
    </row>
    <row r="567" spans="1:4" x14ac:dyDescent="0.2">
      <c r="A567" t="str">
        <f>IF('ENC to Device Cables'!F646&lt;&gt;"",'ENC to Device Cables'!F646,"")</f>
        <v/>
      </c>
      <c r="B567" s="2" t="str">
        <f>IF(A567&lt;&gt;"",'ENC to Device Cables'!G646,"")</f>
        <v/>
      </c>
      <c r="C567" t="str">
        <f>IF(A567&lt;&gt;"",'ENC to Device Cables'!H646,"")</f>
        <v/>
      </c>
      <c r="D567" s="1" t="str">
        <f>IF(A567&lt;&gt;"",'ENC to Device Cables'!I646,"")</f>
        <v/>
      </c>
    </row>
    <row r="568" spans="1:4" x14ac:dyDescent="0.2">
      <c r="A568" t="str">
        <f>IF('ENC to Device Cables'!F647&lt;&gt;"",'ENC to Device Cables'!F647,"")</f>
        <v/>
      </c>
      <c r="B568" s="2" t="str">
        <f>IF(A568&lt;&gt;"",'ENC to Device Cables'!G647,"")</f>
        <v/>
      </c>
      <c r="C568" t="str">
        <f>IF(A568&lt;&gt;"",'ENC to Device Cables'!H647,"")</f>
        <v/>
      </c>
      <c r="D568" s="1" t="str">
        <f>IF(A568&lt;&gt;"",'ENC to Device Cables'!I647,"")</f>
        <v/>
      </c>
    </row>
    <row r="569" spans="1:4" x14ac:dyDescent="0.2">
      <c r="A569" t="str">
        <f>IF('ENC to Device Cables'!F648&lt;&gt;"",'ENC to Device Cables'!F648,"")</f>
        <v/>
      </c>
      <c r="B569" s="2" t="str">
        <f>IF(A569&lt;&gt;"",'ENC to Device Cables'!G648,"")</f>
        <v/>
      </c>
      <c r="C569" t="str">
        <f>IF(A569&lt;&gt;"",'ENC to Device Cables'!H648,"")</f>
        <v/>
      </c>
      <c r="D569" s="1" t="str">
        <f>IF(A569&lt;&gt;"",'ENC to Device Cables'!I648,"")</f>
        <v/>
      </c>
    </row>
    <row r="570" spans="1:4" x14ac:dyDescent="0.2">
      <c r="A570" t="str">
        <f>IF('ENC to Device Cables'!F649&lt;&gt;"",'ENC to Device Cables'!F649,"")</f>
        <v/>
      </c>
      <c r="B570" s="2" t="str">
        <f>IF(A570&lt;&gt;"",'ENC to Device Cables'!G649,"")</f>
        <v/>
      </c>
      <c r="C570" t="str">
        <f>IF(A570&lt;&gt;"",'ENC to Device Cables'!H649,"")</f>
        <v/>
      </c>
      <c r="D570" s="1" t="str">
        <f>IF(A570&lt;&gt;"",'ENC to Device Cables'!I649,"")</f>
        <v/>
      </c>
    </row>
    <row r="571" spans="1:4" x14ac:dyDescent="0.2">
      <c r="A571" t="str">
        <f>IF('ENC to Device Cables'!F650&lt;&gt;"",'ENC to Device Cables'!F650,"")</f>
        <v/>
      </c>
      <c r="B571" s="2" t="str">
        <f>IF(A571&lt;&gt;"",'ENC to Device Cables'!G650,"")</f>
        <v/>
      </c>
      <c r="C571" t="str">
        <f>IF(A571&lt;&gt;"",'ENC to Device Cables'!H650,"")</f>
        <v/>
      </c>
      <c r="D571" s="1" t="str">
        <f>IF(A571&lt;&gt;"",'ENC to Device Cables'!I650,"")</f>
        <v/>
      </c>
    </row>
    <row r="572" spans="1:4" x14ac:dyDescent="0.2">
      <c r="A572" t="str">
        <f>IF('ENC to Device Cables'!F651&lt;&gt;"",'ENC to Device Cables'!F651,"")</f>
        <v/>
      </c>
      <c r="B572" s="2" t="str">
        <f>IF(A572&lt;&gt;"",'ENC to Device Cables'!G651,"")</f>
        <v/>
      </c>
      <c r="C572" t="str">
        <f>IF(A572&lt;&gt;"",'ENC to Device Cables'!H651,"")</f>
        <v/>
      </c>
      <c r="D572" s="1" t="str">
        <f>IF(A572&lt;&gt;"",'ENC to Device Cables'!I651,"")</f>
        <v/>
      </c>
    </row>
    <row r="573" spans="1:4" x14ac:dyDescent="0.2">
      <c r="A573" t="str">
        <f>IF('ENC to Device Cables'!F652&lt;&gt;"",'ENC to Device Cables'!F652,"")</f>
        <v/>
      </c>
      <c r="B573" s="2" t="str">
        <f>IF(A573&lt;&gt;"",'ENC to Device Cables'!G652,"")</f>
        <v/>
      </c>
      <c r="C573" t="str">
        <f>IF(A573&lt;&gt;"",'ENC to Device Cables'!H652,"")</f>
        <v/>
      </c>
      <c r="D573" s="1" t="str">
        <f>IF(A573&lt;&gt;"",'ENC to Device Cables'!I652,"")</f>
        <v/>
      </c>
    </row>
    <row r="574" spans="1:4" x14ac:dyDescent="0.2">
      <c r="A574" t="str">
        <f>IF('ENC to Device Cables'!F653&lt;&gt;"",'ENC to Device Cables'!F653,"")</f>
        <v/>
      </c>
      <c r="B574" s="2" t="str">
        <f>IF(A574&lt;&gt;"",'ENC to Device Cables'!G653,"")</f>
        <v/>
      </c>
      <c r="C574" t="str">
        <f>IF(A574&lt;&gt;"",'ENC to Device Cables'!H653,"")</f>
        <v/>
      </c>
      <c r="D574" s="1" t="str">
        <f>IF(A574&lt;&gt;"",'ENC to Device Cables'!I653,"")</f>
        <v/>
      </c>
    </row>
    <row r="575" spans="1:4" x14ac:dyDescent="0.2">
      <c r="A575" t="str">
        <f>IF('ENC to Device Cables'!F654&lt;&gt;"",'ENC to Device Cables'!F654,"")</f>
        <v/>
      </c>
      <c r="B575" s="2" t="str">
        <f>IF(A575&lt;&gt;"",'ENC to Device Cables'!G654,"")</f>
        <v/>
      </c>
      <c r="C575" t="str">
        <f>IF(A575&lt;&gt;"",'ENC to Device Cables'!H654,"")</f>
        <v/>
      </c>
      <c r="D575" s="1" t="str">
        <f>IF(A575&lt;&gt;"",'ENC to Device Cables'!I654,"")</f>
        <v/>
      </c>
    </row>
    <row r="576" spans="1:4" x14ac:dyDescent="0.2">
      <c r="A576" t="str">
        <f>IF('ENC to Device Cables'!F655&lt;&gt;"",'ENC to Device Cables'!F655,"")</f>
        <v/>
      </c>
      <c r="B576" s="2" t="str">
        <f>IF(A576&lt;&gt;"",'ENC to Device Cables'!G655,"")</f>
        <v/>
      </c>
      <c r="C576" t="str">
        <f>IF(A576&lt;&gt;"",'ENC to Device Cables'!H655,"")</f>
        <v/>
      </c>
      <c r="D576" s="1" t="str">
        <f>IF(A576&lt;&gt;"",'ENC to Device Cables'!I655,"")</f>
        <v/>
      </c>
    </row>
    <row r="577" spans="1:4" x14ac:dyDescent="0.2">
      <c r="A577" t="str">
        <f>IF('ENC to Device Cables'!F656&lt;&gt;"",'ENC to Device Cables'!F656,"")</f>
        <v/>
      </c>
      <c r="B577" s="2" t="str">
        <f>IF(A577&lt;&gt;"",'ENC to Device Cables'!G656,"")</f>
        <v/>
      </c>
      <c r="C577" t="str">
        <f>IF(A577&lt;&gt;"",'ENC to Device Cables'!H656,"")</f>
        <v/>
      </c>
      <c r="D577" s="1" t="str">
        <f>IF(A577&lt;&gt;"",'ENC to Device Cables'!I656,"")</f>
        <v/>
      </c>
    </row>
    <row r="578" spans="1:4" x14ac:dyDescent="0.2">
      <c r="A578" t="str">
        <f>IF('ENC to Device Cables'!F657&lt;&gt;"",'ENC to Device Cables'!F657,"")</f>
        <v/>
      </c>
      <c r="B578" s="2" t="str">
        <f>IF(A578&lt;&gt;"",'ENC to Device Cables'!G657,"")</f>
        <v/>
      </c>
      <c r="C578" t="str">
        <f>IF(A578&lt;&gt;"",'ENC to Device Cables'!H657,"")</f>
        <v/>
      </c>
      <c r="D578" s="1" t="str">
        <f>IF(A578&lt;&gt;"",'ENC to Device Cables'!I657,"")</f>
        <v/>
      </c>
    </row>
    <row r="579" spans="1:4" x14ac:dyDescent="0.2">
      <c r="A579" t="str">
        <f>IF('ENC to Device Cables'!F658&lt;&gt;"",'ENC to Device Cables'!F658,"")</f>
        <v/>
      </c>
      <c r="B579" s="2" t="str">
        <f>IF(A579&lt;&gt;"",'ENC to Device Cables'!G658,"")</f>
        <v/>
      </c>
      <c r="C579" t="str">
        <f>IF(A579&lt;&gt;"",'ENC to Device Cables'!H658,"")</f>
        <v/>
      </c>
      <c r="D579" s="1" t="str">
        <f>IF(A579&lt;&gt;"",'ENC to Device Cables'!I658,"")</f>
        <v/>
      </c>
    </row>
    <row r="580" spans="1:4" x14ac:dyDescent="0.2">
      <c r="A580" t="str">
        <f>IF('ENC to Device Cables'!F659&lt;&gt;"",'ENC to Device Cables'!F659,"")</f>
        <v/>
      </c>
      <c r="B580" s="2" t="str">
        <f>IF(A580&lt;&gt;"",'ENC to Device Cables'!G659,"")</f>
        <v/>
      </c>
      <c r="C580" t="str">
        <f>IF(A580&lt;&gt;"",'ENC to Device Cables'!H659,"")</f>
        <v/>
      </c>
      <c r="D580" s="1" t="str">
        <f>IF(A580&lt;&gt;"",'ENC to Device Cables'!I659,"")</f>
        <v/>
      </c>
    </row>
    <row r="581" spans="1:4" x14ac:dyDescent="0.2">
      <c r="A581" t="str">
        <f>IF('ENC to Device Cables'!F660&lt;&gt;"",'ENC to Device Cables'!F660,"")</f>
        <v/>
      </c>
      <c r="B581" s="2" t="str">
        <f>IF(A581&lt;&gt;"",'ENC to Device Cables'!G660,"")</f>
        <v/>
      </c>
      <c r="C581" t="str">
        <f>IF(A581&lt;&gt;"",'ENC to Device Cables'!H660,"")</f>
        <v/>
      </c>
      <c r="D581" s="1" t="str">
        <f>IF(A581&lt;&gt;"",'ENC to Device Cables'!I660,"")</f>
        <v/>
      </c>
    </row>
    <row r="582" spans="1:4" x14ac:dyDescent="0.2">
      <c r="A582" t="str">
        <f>IF('ENC to Device Cables'!F661&lt;&gt;"",'ENC to Device Cables'!F661,"")</f>
        <v/>
      </c>
      <c r="B582" s="2" t="str">
        <f>IF(A582&lt;&gt;"",'ENC to Device Cables'!G661,"")</f>
        <v/>
      </c>
      <c r="C582" t="str">
        <f>IF(A582&lt;&gt;"",'ENC to Device Cables'!H661,"")</f>
        <v/>
      </c>
      <c r="D582" s="1" t="str">
        <f>IF(A582&lt;&gt;"",'ENC to Device Cables'!I661,"")</f>
        <v/>
      </c>
    </row>
    <row r="583" spans="1:4" x14ac:dyDescent="0.2">
      <c r="A583" t="str">
        <f>IF('ENC to Device Cables'!F662&lt;&gt;"",'ENC to Device Cables'!F662,"")</f>
        <v/>
      </c>
      <c r="B583" s="2" t="str">
        <f>IF(A583&lt;&gt;"",'ENC to Device Cables'!G662,"")</f>
        <v/>
      </c>
      <c r="C583" t="str">
        <f>IF(A583&lt;&gt;"",'ENC to Device Cables'!H662,"")</f>
        <v/>
      </c>
      <c r="D583" s="1" t="str">
        <f>IF(A583&lt;&gt;"",'ENC to Device Cables'!I662,"")</f>
        <v/>
      </c>
    </row>
    <row r="584" spans="1:4" x14ac:dyDescent="0.2">
      <c r="A584" t="str">
        <f>IF('ENC to Device Cables'!F663&lt;&gt;"",'ENC to Device Cables'!F663,"")</f>
        <v/>
      </c>
      <c r="B584" s="2" t="str">
        <f>IF(A584&lt;&gt;"",'ENC to Device Cables'!G663,"")</f>
        <v/>
      </c>
      <c r="C584" t="str">
        <f>IF(A584&lt;&gt;"",'ENC to Device Cables'!H663,"")</f>
        <v/>
      </c>
      <c r="D584" s="1" t="str">
        <f>IF(A584&lt;&gt;"",'ENC to Device Cables'!I663,"")</f>
        <v/>
      </c>
    </row>
    <row r="585" spans="1:4" x14ac:dyDescent="0.2">
      <c r="A585" t="str">
        <f>IF('ENC to Device Cables'!F664&lt;&gt;"",'ENC to Device Cables'!F664,"")</f>
        <v/>
      </c>
      <c r="B585" s="2" t="str">
        <f>IF(A585&lt;&gt;"",'ENC to Device Cables'!G664,"")</f>
        <v/>
      </c>
      <c r="C585" t="str">
        <f>IF(A585&lt;&gt;"",'ENC to Device Cables'!H664,"")</f>
        <v/>
      </c>
      <c r="D585" s="1" t="str">
        <f>IF(A585&lt;&gt;"",'ENC to Device Cables'!I664,"")</f>
        <v/>
      </c>
    </row>
    <row r="586" spans="1:4" x14ac:dyDescent="0.2">
      <c r="A586" t="str">
        <f>IF('ENC to Device Cables'!F665&lt;&gt;"",'ENC to Device Cables'!F665,"")</f>
        <v/>
      </c>
      <c r="B586" s="2" t="str">
        <f>IF(A586&lt;&gt;"",'ENC to Device Cables'!G665,"")</f>
        <v/>
      </c>
      <c r="C586" t="str">
        <f>IF(A586&lt;&gt;"",'ENC to Device Cables'!H665,"")</f>
        <v/>
      </c>
      <c r="D586" s="1" t="str">
        <f>IF(A586&lt;&gt;"",'ENC to Device Cables'!I665,"")</f>
        <v/>
      </c>
    </row>
    <row r="587" spans="1:4" x14ac:dyDescent="0.2">
      <c r="A587" t="str">
        <f>IF('ENC to Device Cables'!F666&lt;&gt;"",'ENC to Device Cables'!F666,"")</f>
        <v/>
      </c>
      <c r="B587" s="2" t="str">
        <f>IF(A587&lt;&gt;"",'ENC to Device Cables'!G666,"")</f>
        <v/>
      </c>
      <c r="C587" t="str">
        <f>IF(A587&lt;&gt;"",'ENC to Device Cables'!H666,"")</f>
        <v/>
      </c>
      <c r="D587" s="1" t="str">
        <f>IF(A587&lt;&gt;"",'ENC to Device Cables'!I666,"")</f>
        <v/>
      </c>
    </row>
    <row r="588" spans="1:4" x14ac:dyDescent="0.2">
      <c r="A588" t="str">
        <f>IF('ENC to Device Cables'!F667&lt;&gt;"",'ENC to Device Cables'!F667,"")</f>
        <v/>
      </c>
      <c r="B588" s="2" t="str">
        <f>IF(A588&lt;&gt;"",'ENC to Device Cables'!G667,"")</f>
        <v/>
      </c>
      <c r="C588" t="str">
        <f>IF(A588&lt;&gt;"",'ENC to Device Cables'!H667,"")</f>
        <v/>
      </c>
      <c r="D588" s="1" t="str">
        <f>IF(A588&lt;&gt;"",'ENC to Device Cables'!I667,"")</f>
        <v/>
      </c>
    </row>
    <row r="589" spans="1:4" x14ac:dyDescent="0.2">
      <c r="A589" t="str">
        <f>IF('ENC to Device Cables'!F668&lt;&gt;"",'ENC to Device Cables'!F668,"")</f>
        <v/>
      </c>
      <c r="B589" s="2" t="str">
        <f>IF(A589&lt;&gt;"",'ENC to Device Cables'!G668,"")</f>
        <v/>
      </c>
      <c r="C589" t="str">
        <f>IF(A589&lt;&gt;"",'ENC to Device Cables'!H668,"")</f>
        <v/>
      </c>
      <c r="D589" s="1" t="str">
        <f>IF(A589&lt;&gt;"",'ENC to Device Cables'!I668,"")</f>
        <v/>
      </c>
    </row>
    <row r="590" spans="1:4" x14ac:dyDescent="0.2">
      <c r="A590" t="str">
        <f>IF('ENC to Device Cables'!F669&lt;&gt;"",'ENC to Device Cables'!F669,"")</f>
        <v/>
      </c>
      <c r="B590" s="2" t="str">
        <f>IF(A590&lt;&gt;"",'ENC to Device Cables'!G669,"")</f>
        <v/>
      </c>
      <c r="C590" t="str">
        <f>IF(A590&lt;&gt;"",'ENC to Device Cables'!H669,"")</f>
        <v/>
      </c>
      <c r="D590" s="1" t="str">
        <f>IF(A590&lt;&gt;"",'ENC to Device Cables'!I669,"")</f>
        <v/>
      </c>
    </row>
    <row r="591" spans="1:4" x14ac:dyDescent="0.2">
      <c r="A591" t="str">
        <f>IF('ENC to Device Cables'!F670&lt;&gt;"",'ENC to Device Cables'!F670,"")</f>
        <v/>
      </c>
      <c r="B591" s="2" t="str">
        <f>IF(A591&lt;&gt;"",'ENC to Device Cables'!G670,"")</f>
        <v/>
      </c>
      <c r="C591" t="str">
        <f>IF(A591&lt;&gt;"",'ENC to Device Cables'!H670,"")</f>
        <v/>
      </c>
      <c r="D591" s="1" t="str">
        <f>IF(A591&lt;&gt;"",'ENC to Device Cables'!I670,"")</f>
        <v/>
      </c>
    </row>
    <row r="592" spans="1:4" x14ac:dyDescent="0.2">
      <c r="A592" t="str">
        <f>IF('ENC to Device Cables'!F671&lt;&gt;"",'ENC to Device Cables'!F671,"")</f>
        <v/>
      </c>
      <c r="B592" s="2" t="str">
        <f>IF(A592&lt;&gt;"",'ENC to Device Cables'!G671,"")</f>
        <v/>
      </c>
      <c r="C592" t="str">
        <f>IF(A592&lt;&gt;"",'ENC to Device Cables'!H671,"")</f>
        <v/>
      </c>
      <c r="D592" s="1" t="str">
        <f>IF(A592&lt;&gt;"",'ENC to Device Cables'!I671,"")</f>
        <v/>
      </c>
    </row>
    <row r="593" spans="1:4" x14ac:dyDescent="0.2">
      <c r="A593" t="str">
        <f>IF('ENC to Device Cables'!F672&lt;&gt;"",'ENC to Device Cables'!F672,"")</f>
        <v/>
      </c>
      <c r="B593" s="2" t="str">
        <f>IF(A593&lt;&gt;"",'ENC to Device Cables'!G672,"")</f>
        <v/>
      </c>
      <c r="C593" t="str">
        <f>IF(A593&lt;&gt;"",'ENC to Device Cables'!H672,"")</f>
        <v/>
      </c>
      <c r="D593" s="1" t="str">
        <f>IF(A593&lt;&gt;"",'ENC to Device Cables'!I672,"")</f>
        <v/>
      </c>
    </row>
    <row r="594" spans="1:4" x14ac:dyDescent="0.2">
      <c r="A594" t="str">
        <f>IF('ENC to Device Cables'!F673&lt;&gt;"",'ENC to Device Cables'!F673,"")</f>
        <v/>
      </c>
      <c r="B594" s="2" t="str">
        <f>IF(A594&lt;&gt;"",'ENC to Device Cables'!G673,"")</f>
        <v/>
      </c>
      <c r="C594" t="str">
        <f>IF(A594&lt;&gt;"",'ENC to Device Cables'!H673,"")</f>
        <v/>
      </c>
      <c r="D594" s="1" t="str">
        <f>IF(A594&lt;&gt;"",'ENC to Device Cables'!I673,"")</f>
        <v/>
      </c>
    </row>
    <row r="595" spans="1:4" x14ac:dyDescent="0.2">
      <c r="A595" t="str">
        <f>IF('ENC to Device Cables'!F674&lt;&gt;"",'ENC to Device Cables'!F674,"")</f>
        <v/>
      </c>
      <c r="B595" s="2" t="str">
        <f>IF(A595&lt;&gt;"",'ENC to Device Cables'!G674,"")</f>
        <v/>
      </c>
      <c r="C595" t="str">
        <f>IF(A595&lt;&gt;"",'ENC to Device Cables'!H674,"")</f>
        <v/>
      </c>
      <c r="D595" s="1" t="str">
        <f>IF(A595&lt;&gt;"",'ENC to Device Cables'!I674,"")</f>
        <v/>
      </c>
    </row>
    <row r="596" spans="1:4" x14ac:dyDescent="0.2">
      <c r="A596" t="str">
        <f>IF('ENC to Device Cables'!F675&lt;&gt;"",'ENC to Device Cables'!F675,"")</f>
        <v/>
      </c>
      <c r="B596" s="2" t="str">
        <f>IF(A596&lt;&gt;"",'ENC to Device Cables'!G675,"")</f>
        <v/>
      </c>
      <c r="C596" t="str">
        <f>IF(A596&lt;&gt;"",'ENC to Device Cables'!H675,"")</f>
        <v/>
      </c>
      <c r="D596" s="1" t="str">
        <f>IF(A596&lt;&gt;"",'ENC to Device Cables'!I675,"")</f>
        <v/>
      </c>
    </row>
    <row r="597" spans="1:4" x14ac:dyDescent="0.2">
      <c r="A597" t="str">
        <f>IF('ENC to Device Cables'!F676&lt;&gt;"",'ENC to Device Cables'!F676,"")</f>
        <v/>
      </c>
      <c r="B597" s="2" t="str">
        <f>IF(A597&lt;&gt;"",'ENC to Device Cables'!G676,"")</f>
        <v/>
      </c>
      <c r="C597" t="str">
        <f>IF(A597&lt;&gt;"",'ENC to Device Cables'!H676,"")</f>
        <v/>
      </c>
      <c r="D597" s="1" t="str">
        <f>IF(A597&lt;&gt;"",'ENC to Device Cables'!I676,"")</f>
        <v/>
      </c>
    </row>
    <row r="598" spans="1:4" x14ac:dyDescent="0.2">
      <c r="A598" t="str">
        <f>IF('ENC to Device Cables'!F677&lt;&gt;"",'ENC to Device Cables'!F677,"")</f>
        <v/>
      </c>
      <c r="B598" s="2" t="str">
        <f>IF(A598&lt;&gt;"",'ENC to Device Cables'!G677,"")</f>
        <v/>
      </c>
      <c r="C598" t="str">
        <f>IF(A598&lt;&gt;"",'ENC to Device Cables'!H677,"")</f>
        <v/>
      </c>
      <c r="D598" s="1" t="str">
        <f>IF(A598&lt;&gt;"",'ENC to Device Cables'!I677,"")</f>
        <v/>
      </c>
    </row>
    <row r="599" spans="1:4" x14ac:dyDescent="0.2">
      <c r="A599" t="str">
        <f>IF('ENC to Device Cables'!F678&lt;&gt;"",'ENC to Device Cables'!F678,"")</f>
        <v/>
      </c>
      <c r="B599" s="2" t="str">
        <f>IF(A599&lt;&gt;"",'ENC to Device Cables'!G678,"")</f>
        <v/>
      </c>
      <c r="C599" t="str">
        <f>IF(A599&lt;&gt;"",'ENC to Device Cables'!H678,"")</f>
        <v/>
      </c>
      <c r="D599" s="1" t="str">
        <f>IF(A599&lt;&gt;"",'ENC to Device Cables'!I678,"")</f>
        <v/>
      </c>
    </row>
    <row r="600" spans="1:4" x14ac:dyDescent="0.2">
      <c r="A600" t="str">
        <f>IF('ENC to Device Cables'!F679&lt;&gt;"",'ENC to Device Cables'!F679,"")</f>
        <v/>
      </c>
      <c r="B600" s="2" t="str">
        <f>IF(A600&lt;&gt;"",'ENC to Device Cables'!G679,"")</f>
        <v/>
      </c>
      <c r="C600" t="str">
        <f>IF(A600&lt;&gt;"",'ENC to Device Cables'!H679,"")</f>
        <v/>
      </c>
      <c r="D600" s="1" t="str">
        <f>IF(A600&lt;&gt;"",'ENC to Device Cables'!I679,"")</f>
        <v/>
      </c>
    </row>
    <row r="601" spans="1:4" x14ac:dyDescent="0.2">
      <c r="A601" t="str">
        <f>IF('ENC to Device Cables'!F680&lt;&gt;"",'ENC to Device Cables'!F680,"")</f>
        <v/>
      </c>
      <c r="B601" s="2" t="str">
        <f>IF(A601&lt;&gt;"",'ENC to Device Cables'!G680,"")</f>
        <v/>
      </c>
      <c r="C601" t="str">
        <f>IF(A601&lt;&gt;"",'ENC to Device Cables'!H680,"")</f>
        <v/>
      </c>
      <c r="D601" s="1" t="str">
        <f>IF(A601&lt;&gt;"",'ENC to Device Cables'!I680,"")</f>
        <v/>
      </c>
    </row>
    <row r="602" spans="1:4" x14ac:dyDescent="0.2">
      <c r="A602" t="str">
        <f>IF('ENC to Device Cables'!F681&lt;&gt;"",'ENC to Device Cables'!F681,"")</f>
        <v/>
      </c>
      <c r="B602" s="2" t="str">
        <f>IF(A602&lt;&gt;"",'ENC to Device Cables'!G681,"")</f>
        <v/>
      </c>
      <c r="C602" t="str">
        <f>IF(A602&lt;&gt;"",'ENC to Device Cables'!H681,"")</f>
        <v/>
      </c>
      <c r="D602" s="1" t="str">
        <f>IF(A602&lt;&gt;"",'ENC to Device Cables'!I681,"")</f>
        <v/>
      </c>
    </row>
    <row r="603" spans="1:4" x14ac:dyDescent="0.2">
      <c r="A603" t="str">
        <f>IF('ENC to Device Cables'!F682&lt;&gt;"",'ENC to Device Cables'!F682,"")</f>
        <v/>
      </c>
      <c r="B603" s="2" t="str">
        <f>IF(A603&lt;&gt;"",'ENC to Device Cables'!G682,"")</f>
        <v/>
      </c>
      <c r="C603" t="str">
        <f>IF(A603&lt;&gt;"",'ENC to Device Cables'!H682,"")</f>
        <v/>
      </c>
      <c r="D603" s="1" t="str">
        <f>IF(A603&lt;&gt;"",'ENC to Device Cables'!I682,"")</f>
        <v/>
      </c>
    </row>
    <row r="604" spans="1:4" x14ac:dyDescent="0.2">
      <c r="A604" t="str">
        <f>IF('ENC to Device Cables'!F683&lt;&gt;"",'ENC to Device Cables'!F683,"")</f>
        <v/>
      </c>
      <c r="B604" s="2" t="str">
        <f>IF(A604&lt;&gt;"",'ENC to Device Cables'!G683,"")</f>
        <v/>
      </c>
      <c r="C604" t="str">
        <f>IF(A604&lt;&gt;"",'ENC to Device Cables'!H683,"")</f>
        <v/>
      </c>
      <c r="D604" s="1" t="str">
        <f>IF(A604&lt;&gt;"",'ENC to Device Cables'!I683,"")</f>
        <v/>
      </c>
    </row>
    <row r="605" spans="1:4" x14ac:dyDescent="0.2">
      <c r="A605" t="str">
        <f>IF('ENC to Device Cables'!F684&lt;&gt;"",'ENC to Device Cables'!F684,"")</f>
        <v/>
      </c>
      <c r="B605" s="2" t="str">
        <f>IF(A605&lt;&gt;"",'ENC to Device Cables'!G684,"")</f>
        <v/>
      </c>
      <c r="C605" t="str">
        <f>IF(A605&lt;&gt;"",'ENC to Device Cables'!H684,"")</f>
        <v/>
      </c>
      <c r="D605" s="1" t="str">
        <f>IF(A605&lt;&gt;"",'ENC to Device Cables'!I684,"")</f>
        <v/>
      </c>
    </row>
    <row r="606" spans="1:4" x14ac:dyDescent="0.2">
      <c r="A606" t="str">
        <f>IF('ENC to Device Cables'!F685&lt;&gt;"",'ENC to Device Cables'!F685,"")</f>
        <v/>
      </c>
      <c r="B606" s="2" t="str">
        <f>IF(A606&lt;&gt;"",'ENC to Device Cables'!G685,"")</f>
        <v/>
      </c>
      <c r="C606" t="str">
        <f>IF(A606&lt;&gt;"",'ENC to Device Cables'!H685,"")</f>
        <v/>
      </c>
      <c r="D606" s="1" t="str">
        <f>IF(A606&lt;&gt;"",'ENC to Device Cables'!I685,"")</f>
        <v/>
      </c>
    </row>
    <row r="607" spans="1:4" x14ac:dyDescent="0.2">
      <c r="A607" t="str">
        <f>IF('ENC to Device Cables'!F686&lt;&gt;"",'ENC to Device Cables'!F686,"")</f>
        <v/>
      </c>
      <c r="B607" s="2" t="str">
        <f>IF(A607&lt;&gt;"",'ENC to Device Cables'!G686,"")</f>
        <v/>
      </c>
      <c r="C607" t="str">
        <f>IF(A607&lt;&gt;"",'ENC to Device Cables'!H686,"")</f>
        <v/>
      </c>
      <c r="D607" s="1" t="str">
        <f>IF(A607&lt;&gt;"",'ENC to Device Cables'!I686,"")</f>
        <v/>
      </c>
    </row>
    <row r="608" spans="1:4" x14ac:dyDescent="0.2">
      <c r="A608" t="str">
        <f>IF('ENC to Device Cables'!F687&lt;&gt;"",'ENC to Device Cables'!F687,"")</f>
        <v/>
      </c>
      <c r="B608" s="2" t="str">
        <f>IF(A608&lt;&gt;"",'ENC to Device Cables'!G687,"")</f>
        <v/>
      </c>
      <c r="C608" t="str">
        <f>IF(A608&lt;&gt;"",'ENC to Device Cables'!H687,"")</f>
        <v/>
      </c>
      <c r="D608" s="1" t="str">
        <f>IF(A608&lt;&gt;"",'ENC to Device Cables'!I687,"")</f>
        <v/>
      </c>
    </row>
    <row r="609" spans="1:4" x14ac:dyDescent="0.2">
      <c r="A609" t="str">
        <f>IF('ENC to Device Cables'!F688&lt;&gt;"",'ENC to Device Cables'!F688,"")</f>
        <v/>
      </c>
      <c r="B609" s="2" t="str">
        <f>IF(A609&lt;&gt;"",'ENC to Device Cables'!G688,"")</f>
        <v/>
      </c>
      <c r="C609" t="str">
        <f>IF(A609&lt;&gt;"",'ENC to Device Cables'!H688,"")</f>
        <v/>
      </c>
      <c r="D609" s="1" t="str">
        <f>IF(A609&lt;&gt;"",'ENC to Device Cables'!I688,"")</f>
        <v/>
      </c>
    </row>
    <row r="610" spans="1:4" x14ac:dyDescent="0.2">
      <c r="A610" t="str">
        <f>IF('ENC to Device Cables'!F689&lt;&gt;"",'ENC to Device Cables'!F689,"")</f>
        <v/>
      </c>
      <c r="B610" s="2" t="str">
        <f>IF(A610&lt;&gt;"",'ENC to Device Cables'!G689,"")</f>
        <v/>
      </c>
      <c r="C610" t="str">
        <f>IF(A610&lt;&gt;"",'ENC to Device Cables'!H689,"")</f>
        <v/>
      </c>
      <c r="D610" s="1" t="str">
        <f>IF(A610&lt;&gt;"",'ENC to Device Cables'!I689,"")</f>
        <v/>
      </c>
    </row>
    <row r="611" spans="1:4" x14ac:dyDescent="0.2">
      <c r="A611" t="str">
        <f>IF('ENC to Device Cables'!F690&lt;&gt;"",'ENC to Device Cables'!F690,"")</f>
        <v/>
      </c>
      <c r="B611" s="2" t="str">
        <f>IF(A611&lt;&gt;"",'ENC to Device Cables'!G690,"")</f>
        <v/>
      </c>
      <c r="C611" t="str">
        <f>IF(A611&lt;&gt;"",'ENC to Device Cables'!H690,"")</f>
        <v/>
      </c>
      <c r="D611" s="1" t="str">
        <f>IF(A611&lt;&gt;"",'ENC to Device Cables'!I690,"")</f>
        <v/>
      </c>
    </row>
    <row r="612" spans="1:4" x14ac:dyDescent="0.2">
      <c r="A612" t="str">
        <f>IF('ENC to Device Cables'!F691&lt;&gt;"",'ENC to Device Cables'!F691,"")</f>
        <v/>
      </c>
      <c r="B612" s="2" t="str">
        <f>IF(A612&lt;&gt;"",'ENC to Device Cables'!G691,"")</f>
        <v/>
      </c>
      <c r="C612" t="str">
        <f>IF(A612&lt;&gt;"",'ENC to Device Cables'!H691,"")</f>
        <v/>
      </c>
      <c r="D612" s="1" t="str">
        <f>IF(A612&lt;&gt;"",'ENC to Device Cables'!I691,"")</f>
        <v/>
      </c>
    </row>
    <row r="613" spans="1:4" x14ac:dyDescent="0.2">
      <c r="A613" t="str">
        <f>IF('ENC to Device Cables'!F692&lt;&gt;"",'ENC to Device Cables'!F692,"")</f>
        <v/>
      </c>
      <c r="B613" s="2" t="str">
        <f>IF(A613&lt;&gt;"",'ENC to Device Cables'!G692,"")</f>
        <v/>
      </c>
      <c r="C613" t="str">
        <f>IF(A613&lt;&gt;"",'ENC to Device Cables'!H692,"")</f>
        <v/>
      </c>
      <c r="D613" s="1" t="str">
        <f>IF(A613&lt;&gt;"",'ENC to Device Cables'!I692,"")</f>
        <v/>
      </c>
    </row>
    <row r="614" spans="1:4" x14ac:dyDescent="0.2">
      <c r="A614" t="str">
        <f>IF('ENC to Device Cables'!F693&lt;&gt;"",'ENC to Device Cables'!F693,"")</f>
        <v/>
      </c>
      <c r="B614" s="2" t="str">
        <f>IF(A614&lt;&gt;"",'ENC to Device Cables'!G693,"")</f>
        <v/>
      </c>
      <c r="C614" t="str">
        <f>IF(A614&lt;&gt;"",'ENC to Device Cables'!H693,"")</f>
        <v/>
      </c>
      <c r="D614" s="1" t="str">
        <f>IF(A614&lt;&gt;"",'ENC to Device Cables'!I693,"")</f>
        <v/>
      </c>
    </row>
    <row r="615" spans="1:4" x14ac:dyDescent="0.2">
      <c r="A615" t="str">
        <f>IF('ENC to Device Cables'!F694&lt;&gt;"",'ENC to Device Cables'!F694,"")</f>
        <v/>
      </c>
      <c r="B615" s="2" t="str">
        <f>IF(A615&lt;&gt;"",'ENC to Device Cables'!G694,"")</f>
        <v/>
      </c>
      <c r="C615" t="str">
        <f>IF(A615&lt;&gt;"",'ENC to Device Cables'!H694,"")</f>
        <v/>
      </c>
      <c r="D615" s="1" t="str">
        <f>IF(A615&lt;&gt;"",'ENC to Device Cables'!I694,"")</f>
        <v/>
      </c>
    </row>
    <row r="616" spans="1:4" x14ac:dyDescent="0.2">
      <c r="A616" t="str">
        <f>IF('ENC to Device Cables'!F695&lt;&gt;"",'ENC to Device Cables'!F695,"")</f>
        <v/>
      </c>
      <c r="B616" s="2" t="str">
        <f>IF(A616&lt;&gt;"",'ENC to Device Cables'!G695,"")</f>
        <v/>
      </c>
      <c r="C616" t="str">
        <f>IF(A616&lt;&gt;"",'ENC to Device Cables'!H695,"")</f>
        <v/>
      </c>
      <c r="D616" s="1" t="str">
        <f>IF(A616&lt;&gt;"",'ENC to Device Cables'!I695,"")</f>
        <v/>
      </c>
    </row>
    <row r="617" spans="1:4" x14ac:dyDescent="0.2">
      <c r="A617" t="str">
        <f>IF('ENC to Device Cables'!F696&lt;&gt;"",'ENC to Device Cables'!F696,"")</f>
        <v/>
      </c>
      <c r="B617" s="2" t="str">
        <f>IF(A617&lt;&gt;"",'ENC to Device Cables'!G696,"")</f>
        <v/>
      </c>
      <c r="C617" t="str">
        <f>IF(A617&lt;&gt;"",'ENC to Device Cables'!H696,"")</f>
        <v/>
      </c>
      <c r="D617" s="1" t="str">
        <f>IF(A617&lt;&gt;"",'ENC to Device Cables'!I696,"")</f>
        <v/>
      </c>
    </row>
    <row r="618" spans="1:4" x14ac:dyDescent="0.2">
      <c r="A618" t="str">
        <f>IF('ENC to Device Cables'!F697&lt;&gt;"",'ENC to Device Cables'!F697,"")</f>
        <v/>
      </c>
      <c r="B618" s="2" t="str">
        <f>IF(A618&lt;&gt;"",'ENC to Device Cables'!G697,"")</f>
        <v/>
      </c>
      <c r="C618" t="str">
        <f>IF(A618&lt;&gt;"",'ENC to Device Cables'!H697,"")</f>
        <v/>
      </c>
      <c r="D618" s="1" t="str">
        <f>IF(A618&lt;&gt;"",'ENC to Device Cables'!I697,"")</f>
        <v/>
      </c>
    </row>
    <row r="619" spans="1:4" x14ac:dyDescent="0.2">
      <c r="A619" t="str">
        <f>IF('ENC to Device Cables'!F698&lt;&gt;"",'ENC to Device Cables'!F698,"")</f>
        <v/>
      </c>
      <c r="B619" s="2" t="str">
        <f>IF(A619&lt;&gt;"",'ENC to Device Cables'!G698,"")</f>
        <v/>
      </c>
      <c r="C619" t="str">
        <f>IF(A619&lt;&gt;"",'ENC to Device Cables'!H698,"")</f>
        <v/>
      </c>
      <c r="D619" s="1" t="str">
        <f>IF(A619&lt;&gt;"",'ENC to Device Cables'!I698,"")</f>
        <v/>
      </c>
    </row>
    <row r="620" spans="1:4" x14ac:dyDescent="0.2">
      <c r="A620" t="str">
        <f>IF('ENC to Device Cables'!F699&lt;&gt;"",'ENC to Device Cables'!F699,"")</f>
        <v/>
      </c>
      <c r="B620" s="2" t="str">
        <f>IF(A620&lt;&gt;"",'ENC to Device Cables'!G699,"")</f>
        <v/>
      </c>
      <c r="C620" t="str">
        <f>IF(A620&lt;&gt;"",'ENC to Device Cables'!H699,"")</f>
        <v/>
      </c>
      <c r="D620" s="1" t="str">
        <f>IF(A620&lt;&gt;"",'ENC to Device Cables'!I699,"")</f>
        <v/>
      </c>
    </row>
    <row r="621" spans="1:4" x14ac:dyDescent="0.2">
      <c r="A621" t="str">
        <f>IF('ENC to Device Cables'!F700&lt;&gt;"",'ENC to Device Cables'!F700,"")</f>
        <v/>
      </c>
      <c r="B621" s="2" t="str">
        <f>IF(A621&lt;&gt;"",'ENC to Device Cables'!G700,"")</f>
        <v/>
      </c>
      <c r="C621" t="str">
        <f>IF(A621&lt;&gt;"",'ENC to Device Cables'!H700,"")</f>
        <v/>
      </c>
      <c r="D621" s="1" t="str">
        <f>IF(A621&lt;&gt;"",'ENC to Device Cables'!I700,"")</f>
        <v/>
      </c>
    </row>
    <row r="622" spans="1:4" x14ac:dyDescent="0.2">
      <c r="A622" t="str">
        <f>IF('ENC to Device Cables'!F701&lt;&gt;"",'ENC to Device Cables'!F701,"")</f>
        <v/>
      </c>
      <c r="B622" s="2" t="str">
        <f>IF(A622&lt;&gt;"",'ENC to Device Cables'!G701,"")</f>
        <v/>
      </c>
      <c r="C622" t="str">
        <f>IF(A622&lt;&gt;"",'ENC to Device Cables'!H701,"")</f>
        <v/>
      </c>
      <c r="D622" s="1" t="str">
        <f>IF(A622&lt;&gt;"",'ENC to Device Cables'!I701,"")</f>
        <v/>
      </c>
    </row>
    <row r="623" spans="1:4" x14ac:dyDescent="0.2">
      <c r="A623" t="str">
        <f>IF('ENC to Device Cables'!F702&lt;&gt;"",'ENC to Device Cables'!F702,"")</f>
        <v/>
      </c>
      <c r="B623" s="2" t="str">
        <f>IF(A623&lt;&gt;"",'ENC to Device Cables'!G702,"")</f>
        <v/>
      </c>
      <c r="C623" t="str">
        <f>IF(A623&lt;&gt;"",'ENC to Device Cables'!H702,"")</f>
        <v/>
      </c>
      <c r="D623" s="1" t="str">
        <f>IF(A623&lt;&gt;"",'ENC to Device Cables'!I702,"")</f>
        <v/>
      </c>
    </row>
    <row r="624" spans="1:4" x14ac:dyDescent="0.2">
      <c r="A624" t="str">
        <f>IF('ENC to Device Cables'!F703&lt;&gt;"",'ENC to Device Cables'!F703,"")</f>
        <v/>
      </c>
      <c r="B624" s="2" t="str">
        <f>IF(A624&lt;&gt;"",'ENC to Device Cables'!G703,"")</f>
        <v/>
      </c>
      <c r="C624" t="str">
        <f>IF(A624&lt;&gt;"",'ENC to Device Cables'!H703,"")</f>
        <v/>
      </c>
      <c r="D624" s="1" t="str">
        <f>IF(A624&lt;&gt;"",'ENC to Device Cables'!I703,"")</f>
        <v/>
      </c>
    </row>
    <row r="625" spans="1:4" x14ac:dyDescent="0.2">
      <c r="A625" t="str">
        <f>IF('ENC to Device Cables'!F704&lt;&gt;"",'ENC to Device Cables'!F704,"")</f>
        <v/>
      </c>
      <c r="B625" s="2" t="str">
        <f>IF(A625&lt;&gt;"",'ENC to Device Cables'!G704,"")</f>
        <v/>
      </c>
      <c r="C625" t="str">
        <f>IF(A625&lt;&gt;"",'ENC to Device Cables'!H704,"")</f>
        <v/>
      </c>
      <c r="D625" s="1" t="str">
        <f>IF(A625&lt;&gt;"",'ENC to Device Cables'!I704,"")</f>
        <v/>
      </c>
    </row>
    <row r="626" spans="1:4" x14ac:dyDescent="0.2">
      <c r="A626" t="str">
        <f>IF('ENC to Device Cables'!F705&lt;&gt;"",'ENC to Device Cables'!F705,"")</f>
        <v/>
      </c>
      <c r="B626" s="2" t="str">
        <f>IF(A626&lt;&gt;"",'ENC to Device Cables'!G705,"")</f>
        <v/>
      </c>
      <c r="C626" t="str">
        <f>IF(A626&lt;&gt;"",'ENC to Device Cables'!H705,"")</f>
        <v/>
      </c>
      <c r="D626" s="1" t="str">
        <f>IF(A626&lt;&gt;"",'ENC to Device Cables'!I705,"")</f>
        <v/>
      </c>
    </row>
    <row r="627" spans="1:4" x14ac:dyDescent="0.2">
      <c r="A627" t="str">
        <f>IF('ENC to Device Cables'!F706&lt;&gt;"",'ENC to Device Cables'!F706,"")</f>
        <v/>
      </c>
      <c r="B627" s="2" t="str">
        <f>IF(A627&lt;&gt;"",'ENC to Device Cables'!G706,"")</f>
        <v/>
      </c>
      <c r="C627" t="str">
        <f>IF(A627&lt;&gt;"",'ENC to Device Cables'!H706,"")</f>
        <v/>
      </c>
      <c r="D627" s="1" t="str">
        <f>IF(A627&lt;&gt;"",'ENC to Device Cables'!I706,"")</f>
        <v/>
      </c>
    </row>
    <row r="628" spans="1:4" x14ac:dyDescent="0.2">
      <c r="A628" t="str">
        <f>IF('ENC to Device Cables'!F707&lt;&gt;"",'ENC to Device Cables'!F707,"")</f>
        <v/>
      </c>
      <c r="B628" s="2" t="str">
        <f>IF(A628&lt;&gt;"",'ENC to Device Cables'!G707,"")</f>
        <v/>
      </c>
      <c r="C628" t="str">
        <f>IF(A628&lt;&gt;"",'ENC to Device Cables'!H707,"")</f>
        <v/>
      </c>
      <c r="D628" s="1" t="str">
        <f>IF(A628&lt;&gt;"",'ENC to Device Cables'!I707,"")</f>
        <v/>
      </c>
    </row>
    <row r="629" spans="1:4" x14ac:dyDescent="0.2">
      <c r="A629" t="str">
        <f>IF('ENC to Device Cables'!F708&lt;&gt;"",'ENC to Device Cables'!F708,"")</f>
        <v/>
      </c>
      <c r="B629" s="2" t="str">
        <f>IF(A629&lt;&gt;"",'ENC to Device Cables'!G708,"")</f>
        <v/>
      </c>
      <c r="C629" t="str">
        <f>IF(A629&lt;&gt;"",'ENC to Device Cables'!H708,"")</f>
        <v/>
      </c>
      <c r="D629" s="1" t="str">
        <f>IF(A629&lt;&gt;"",'ENC to Device Cables'!I708,"")</f>
        <v/>
      </c>
    </row>
    <row r="630" spans="1:4" x14ac:dyDescent="0.2">
      <c r="A630" t="str">
        <f>IF('ENC to Device Cables'!F709&lt;&gt;"",'ENC to Device Cables'!F709,"")</f>
        <v/>
      </c>
      <c r="B630" s="2" t="str">
        <f>IF(A630&lt;&gt;"",'ENC to Device Cables'!G709,"")</f>
        <v/>
      </c>
      <c r="C630" t="str">
        <f>IF(A630&lt;&gt;"",'ENC to Device Cables'!H709,"")</f>
        <v/>
      </c>
      <c r="D630" s="1" t="str">
        <f>IF(A630&lt;&gt;"",'ENC to Device Cables'!I709,"")</f>
        <v/>
      </c>
    </row>
    <row r="631" spans="1:4" x14ac:dyDescent="0.2">
      <c r="A631" t="str">
        <f>IF('ENC to Device Cables'!F710&lt;&gt;"",'ENC to Device Cables'!F710,"")</f>
        <v/>
      </c>
      <c r="B631" s="2" t="str">
        <f>IF(A631&lt;&gt;"",'ENC to Device Cables'!G710,"")</f>
        <v/>
      </c>
      <c r="C631" t="str">
        <f>IF(A631&lt;&gt;"",'ENC to Device Cables'!H710,"")</f>
        <v/>
      </c>
      <c r="D631" s="1" t="str">
        <f>IF(A631&lt;&gt;"",'ENC to Device Cables'!I710,"")</f>
        <v/>
      </c>
    </row>
    <row r="632" spans="1:4" x14ac:dyDescent="0.2">
      <c r="A632" t="str">
        <f>IF('ENC to Device Cables'!F711&lt;&gt;"",'ENC to Device Cables'!F711,"")</f>
        <v/>
      </c>
      <c r="B632" s="2" t="str">
        <f>IF(A632&lt;&gt;"",'ENC to Device Cables'!G711,"")</f>
        <v/>
      </c>
      <c r="C632" t="str">
        <f>IF(A632&lt;&gt;"",'ENC to Device Cables'!H711,"")</f>
        <v/>
      </c>
      <c r="D632" s="1" t="str">
        <f>IF(A632&lt;&gt;"",'ENC to Device Cables'!I711,"")</f>
        <v/>
      </c>
    </row>
    <row r="633" spans="1:4" x14ac:dyDescent="0.2">
      <c r="A633" t="str">
        <f>IF('ENC to Device Cables'!F712&lt;&gt;"",'ENC to Device Cables'!F712,"")</f>
        <v/>
      </c>
      <c r="B633" s="2" t="str">
        <f>IF(A633&lt;&gt;"",'ENC to Device Cables'!G712,"")</f>
        <v/>
      </c>
      <c r="C633" t="str">
        <f>IF(A633&lt;&gt;"",'ENC to Device Cables'!H712,"")</f>
        <v/>
      </c>
      <c r="D633" s="1" t="str">
        <f>IF(A633&lt;&gt;"",'ENC to Device Cables'!I712,"")</f>
        <v/>
      </c>
    </row>
    <row r="634" spans="1:4" x14ac:dyDescent="0.2">
      <c r="A634" t="str">
        <f>IF('ENC to Device Cables'!F713&lt;&gt;"",'ENC to Device Cables'!F713,"")</f>
        <v/>
      </c>
      <c r="B634" s="2" t="str">
        <f>IF(A634&lt;&gt;"",'ENC to Device Cables'!G713,"")</f>
        <v/>
      </c>
      <c r="C634" t="str">
        <f>IF(A634&lt;&gt;"",'ENC to Device Cables'!H713,"")</f>
        <v/>
      </c>
      <c r="D634" s="1" t="str">
        <f>IF(A634&lt;&gt;"",'ENC to Device Cables'!I713,"")</f>
        <v/>
      </c>
    </row>
    <row r="635" spans="1:4" x14ac:dyDescent="0.2">
      <c r="A635" t="str">
        <f>IF('ENC to Device Cables'!F714&lt;&gt;"",'ENC to Device Cables'!F714,"")</f>
        <v/>
      </c>
      <c r="B635" s="2" t="str">
        <f>IF(A635&lt;&gt;"",'ENC to Device Cables'!G714,"")</f>
        <v/>
      </c>
      <c r="C635" t="str">
        <f>IF(A635&lt;&gt;"",'ENC to Device Cables'!H714,"")</f>
        <v/>
      </c>
      <c r="D635" s="1" t="str">
        <f>IF(A635&lt;&gt;"",'ENC to Device Cables'!I714,"")</f>
        <v/>
      </c>
    </row>
    <row r="636" spans="1:4" x14ac:dyDescent="0.2">
      <c r="A636" t="str">
        <f>IF('ENC to Device Cables'!F715&lt;&gt;"",'ENC to Device Cables'!F715,"")</f>
        <v/>
      </c>
      <c r="B636" s="2" t="str">
        <f>IF(A636&lt;&gt;"",'ENC to Device Cables'!G715,"")</f>
        <v/>
      </c>
      <c r="C636" t="str">
        <f>IF(A636&lt;&gt;"",'ENC to Device Cables'!H715,"")</f>
        <v/>
      </c>
      <c r="D636" s="1" t="str">
        <f>IF(A636&lt;&gt;"",'ENC to Device Cables'!I715,"")</f>
        <v/>
      </c>
    </row>
    <row r="637" spans="1:4" x14ac:dyDescent="0.2">
      <c r="A637" t="str">
        <f>IF('ENC to Device Cables'!F716&lt;&gt;"",'ENC to Device Cables'!F716,"")</f>
        <v/>
      </c>
      <c r="B637" s="2" t="str">
        <f>IF(A637&lt;&gt;"",'ENC to Device Cables'!G716,"")</f>
        <v/>
      </c>
      <c r="C637" t="str">
        <f>IF(A637&lt;&gt;"",'ENC to Device Cables'!H716,"")</f>
        <v/>
      </c>
      <c r="D637" s="1" t="str">
        <f>IF(A637&lt;&gt;"",'ENC to Device Cables'!I716,"")</f>
        <v/>
      </c>
    </row>
    <row r="638" spans="1:4" x14ac:dyDescent="0.2">
      <c r="A638" t="str">
        <f>IF('ENC to Device Cables'!F717&lt;&gt;"",'ENC to Device Cables'!F717,"")</f>
        <v/>
      </c>
      <c r="B638" s="2" t="str">
        <f>IF(A638&lt;&gt;"",'ENC to Device Cables'!G717,"")</f>
        <v/>
      </c>
      <c r="C638" t="str">
        <f>IF(A638&lt;&gt;"",'ENC to Device Cables'!H717,"")</f>
        <v/>
      </c>
      <c r="D638" s="1" t="str">
        <f>IF(A638&lt;&gt;"",'ENC to Device Cables'!I717,"")</f>
        <v/>
      </c>
    </row>
    <row r="639" spans="1:4" x14ac:dyDescent="0.2">
      <c r="A639" t="str">
        <f>IF('ENC to Device Cables'!F718&lt;&gt;"",'ENC to Device Cables'!F718,"")</f>
        <v/>
      </c>
      <c r="B639" s="2" t="str">
        <f>IF(A639&lt;&gt;"",'ENC to Device Cables'!G718,"")</f>
        <v/>
      </c>
      <c r="C639" t="str">
        <f>IF(A639&lt;&gt;"",'ENC to Device Cables'!H718,"")</f>
        <v/>
      </c>
      <c r="D639" s="1" t="str">
        <f>IF(A639&lt;&gt;"",'ENC to Device Cables'!I718,"")</f>
        <v/>
      </c>
    </row>
    <row r="640" spans="1:4" x14ac:dyDescent="0.2">
      <c r="A640" t="str">
        <f>IF('ENC to Device Cables'!F719&lt;&gt;"",'ENC to Device Cables'!F719,"")</f>
        <v/>
      </c>
      <c r="B640" s="2" t="str">
        <f>IF(A640&lt;&gt;"",'ENC to Device Cables'!G719,"")</f>
        <v/>
      </c>
      <c r="C640" t="str">
        <f>IF(A640&lt;&gt;"",'ENC to Device Cables'!H719,"")</f>
        <v/>
      </c>
      <c r="D640" s="1" t="str">
        <f>IF(A640&lt;&gt;"",'ENC to Device Cables'!I719,"")</f>
        <v/>
      </c>
    </row>
    <row r="641" spans="1:4" x14ac:dyDescent="0.2">
      <c r="A641" t="str">
        <f>IF('ENC to Device Cables'!F720&lt;&gt;"",'ENC to Device Cables'!F720,"")</f>
        <v/>
      </c>
      <c r="B641" s="2" t="str">
        <f>IF(A641&lt;&gt;"",'ENC to Device Cables'!G720,"")</f>
        <v/>
      </c>
      <c r="C641" t="str">
        <f>IF(A641&lt;&gt;"",'ENC to Device Cables'!H720,"")</f>
        <v/>
      </c>
      <c r="D641" s="1" t="str">
        <f>IF(A641&lt;&gt;"",'ENC to Device Cables'!I720,"")</f>
        <v/>
      </c>
    </row>
    <row r="642" spans="1:4" x14ac:dyDescent="0.2">
      <c r="A642" t="str">
        <f>IF('ENC to Device Cables'!F721&lt;&gt;"",'ENC to Device Cables'!F721,"")</f>
        <v/>
      </c>
      <c r="B642" s="2" t="str">
        <f>IF(A642&lt;&gt;"",'ENC to Device Cables'!G721,"")</f>
        <v/>
      </c>
      <c r="C642" t="str">
        <f>IF(A642&lt;&gt;"",'ENC to Device Cables'!H721,"")</f>
        <v/>
      </c>
      <c r="D642" s="1" t="str">
        <f>IF(A642&lt;&gt;"",'ENC to Device Cables'!I721,"")</f>
        <v/>
      </c>
    </row>
    <row r="643" spans="1:4" x14ac:dyDescent="0.2">
      <c r="A643" t="str">
        <f>IF('ENC to Device Cables'!F722&lt;&gt;"",'ENC to Device Cables'!F722,"")</f>
        <v/>
      </c>
      <c r="B643" s="2" t="str">
        <f>IF(A643&lt;&gt;"",'ENC to Device Cables'!G722,"")</f>
        <v/>
      </c>
      <c r="C643" t="str">
        <f>IF(A643&lt;&gt;"",'ENC to Device Cables'!H722,"")</f>
        <v/>
      </c>
      <c r="D643" s="1" t="str">
        <f>IF(A643&lt;&gt;"",'ENC to Device Cables'!I722,"")</f>
        <v/>
      </c>
    </row>
    <row r="644" spans="1:4" x14ac:dyDescent="0.2">
      <c r="A644" t="str">
        <f>IF('ENC to Device Cables'!F723&lt;&gt;"",'ENC to Device Cables'!F723,"")</f>
        <v/>
      </c>
      <c r="B644" s="2" t="str">
        <f>IF(A644&lt;&gt;"",'ENC to Device Cables'!G723,"")</f>
        <v/>
      </c>
      <c r="C644" t="str">
        <f>IF(A644&lt;&gt;"",'ENC to Device Cables'!H723,"")</f>
        <v/>
      </c>
      <c r="D644" s="1" t="str">
        <f>IF(A644&lt;&gt;"",'ENC to Device Cables'!I723,"")</f>
        <v/>
      </c>
    </row>
    <row r="645" spans="1:4" x14ac:dyDescent="0.2">
      <c r="A645" t="str">
        <f>IF('ENC to Device Cables'!F724&lt;&gt;"",'ENC to Device Cables'!F724,"")</f>
        <v/>
      </c>
      <c r="B645" s="2" t="str">
        <f>IF(A645&lt;&gt;"",'ENC to Device Cables'!G724,"")</f>
        <v/>
      </c>
      <c r="C645" t="str">
        <f>IF(A645&lt;&gt;"",'ENC to Device Cables'!H724,"")</f>
        <v/>
      </c>
      <c r="D645" s="1" t="str">
        <f>IF(A645&lt;&gt;"",'ENC to Device Cables'!I724,"")</f>
        <v/>
      </c>
    </row>
    <row r="646" spans="1:4" x14ac:dyDescent="0.2">
      <c r="A646" t="str">
        <f>IF('ENC to Device Cables'!F725&lt;&gt;"",'ENC to Device Cables'!F725,"")</f>
        <v/>
      </c>
      <c r="B646" s="2" t="str">
        <f>IF(A646&lt;&gt;"",'ENC to Device Cables'!G725,"")</f>
        <v/>
      </c>
      <c r="C646" t="str">
        <f>IF(A646&lt;&gt;"",'ENC to Device Cables'!H725,"")</f>
        <v/>
      </c>
      <c r="D646" s="1" t="str">
        <f>IF(A646&lt;&gt;"",'ENC to Device Cables'!I725,"")</f>
        <v/>
      </c>
    </row>
    <row r="647" spans="1:4" x14ac:dyDescent="0.2">
      <c r="A647" t="str">
        <f>IF('ENC to Device Cables'!F726&lt;&gt;"",'ENC to Device Cables'!F726,"")</f>
        <v/>
      </c>
      <c r="B647" s="2" t="str">
        <f>IF(A647&lt;&gt;"",'ENC to Device Cables'!G726,"")</f>
        <v/>
      </c>
      <c r="C647" t="str">
        <f>IF(A647&lt;&gt;"",'ENC to Device Cables'!H726,"")</f>
        <v/>
      </c>
      <c r="D647" s="1" t="str">
        <f>IF(A647&lt;&gt;"",'ENC to Device Cables'!I726,"")</f>
        <v/>
      </c>
    </row>
    <row r="648" spans="1:4" x14ac:dyDescent="0.2">
      <c r="A648" t="str">
        <f>IF('ENC to Device Cables'!F727&lt;&gt;"",'ENC to Device Cables'!F727,"")</f>
        <v/>
      </c>
      <c r="B648" s="2" t="str">
        <f>IF(A648&lt;&gt;"",'ENC to Device Cables'!G727,"")</f>
        <v/>
      </c>
      <c r="C648" t="str">
        <f>IF(A648&lt;&gt;"",'ENC to Device Cables'!H727,"")</f>
        <v/>
      </c>
      <c r="D648" s="1" t="str">
        <f>IF(A648&lt;&gt;"",'ENC to Device Cables'!I727,"")</f>
        <v/>
      </c>
    </row>
    <row r="649" spans="1:4" x14ac:dyDescent="0.2">
      <c r="A649" t="str">
        <f>IF('ENC to Device Cables'!F728&lt;&gt;"",'ENC to Device Cables'!F728,"")</f>
        <v/>
      </c>
      <c r="B649" s="2" t="str">
        <f>IF(A649&lt;&gt;"",'ENC to Device Cables'!G728,"")</f>
        <v/>
      </c>
      <c r="C649" t="str">
        <f>IF(A649&lt;&gt;"",'ENC to Device Cables'!H728,"")</f>
        <v/>
      </c>
      <c r="D649" s="1" t="str">
        <f>IF(A649&lt;&gt;"",'ENC to Device Cables'!I728,"")</f>
        <v/>
      </c>
    </row>
    <row r="650" spans="1:4" x14ac:dyDescent="0.2">
      <c r="A650" t="str">
        <f>IF('ENC to Device Cables'!F729&lt;&gt;"",'ENC to Device Cables'!F729,"")</f>
        <v/>
      </c>
      <c r="B650" s="2" t="str">
        <f>IF(A650&lt;&gt;"",'ENC to Device Cables'!G729,"")</f>
        <v/>
      </c>
      <c r="C650" t="str">
        <f>IF(A650&lt;&gt;"",'ENC to Device Cables'!H729,"")</f>
        <v/>
      </c>
      <c r="D650" s="1" t="str">
        <f>IF(A650&lt;&gt;"",'ENC to Device Cables'!I729,"")</f>
        <v/>
      </c>
    </row>
    <row r="651" spans="1:4" x14ac:dyDescent="0.2">
      <c r="A651" t="str">
        <f>IF('ENC to Device Cables'!F730&lt;&gt;"",'ENC to Device Cables'!F730,"")</f>
        <v/>
      </c>
      <c r="B651" s="2" t="str">
        <f>IF(A651&lt;&gt;"",'ENC to Device Cables'!G730,"")</f>
        <v/>
      </c>
      <c r="C651" t="str">
        <f>IF(A651&lt;&gt;"",'ENC to Device Cables'!H730,"")</f>
        <v/>
      </c>
      <c r="D651" s="1" t="str">
        <f>IF(A651&lt;&gt;"",'ENC to Device Cables'!I730,"")</f>
        <v/>
      </c>
    </row>
    <row r="652" spans="1:4" x14ac:dyDescent="0.2">
      <c r="A652" t="str">
        <f>IF('ENC to Device Cables'!F731&lt;&gt;"",'ENC to Device Cables'!F731,"")</f>
        <v/>
      </c>
      <c r="B652" s="2" t="str">
        <f>IF(A652&lt;&gt;"",'ENC to Device Cables'!G731,"")</f>
        <v/>
      </c>
      <c r="C652" t="str">
        <f>IF(A652&lt;&gt;"",'ENC to Device Cables'!H731,"")</f>
        <v/>
      </c>
      <c r="D652" s="1" t="str">
        <f>IF(A652&lt;&gt;"",'ENC to Device Cables'!I731,"")</f>
        <v/>
      </c>
    </row>
    <row r="653" spans="1:4" x14ac:dyDescent="0.2">
      <c r="A653" t="str">
        <f>IF('ENC to Device Cables'!F732&lt;&gt;"",'ENC to Device Cables'!F732,"")</f>
        <v/>
      </c>
      <c r="B653" s="2" t="str">
        <f>IF(A653&lt;&gt;"",'ENC to Device Cables'!G732,"")</f>
        <v/>
      </c>
      <c r="C653" t="str">
        <f>IF(A653&lt;&gt;"",'ENC to Device Cables'!H732,"")</f>
        <v/>
      </c>
      <c r="D653" s="1" t="str">
        <f>IF(A653&lt;&gt;"",'ENC to Device Cables'!I732,"")</f>
        <v/>
      </c>
    </row>
    <row r="654" spans="1:4" x14ac:dyDescent="0.2">
      <c r="A654" t="str">
        <f>IF('ENC to Device Cables'!F733&lt;&gt;"",'ENC to Device Cables'!F733,"")</f>
        <v/>
      </c>
      <c r="B654" s="2" t="str">
        <f>IF(A654&lt;&gt;"",'ENC to Device Cables'!G733,"")</f>
        <v/>
      </c>
      <c r="C654" t="str">
        <f>IF(A654&lt;&gt;"",'ENC to Device Cables'!H733,"")</f>
        <v/>
      </c>
      <c r="D654" s="1" t="str">
        <f>IF(A654&lt;&gt;"",'ENC to Device Cables'!I733,"")</f>
        <v/>
      </c>
    </row>
    <row r="655" spans="1:4" x14ac:dyDescent="0.2">
      <c r="A655" t="str">
        <f>IF('ENC to Device Cables'!F734&lt;&gt;"",'ENC to Device Cables'!F734,"")</f>
        <v/>
      </c>
      <c r="B655" s="2" t="str">
        <f>IF(A655&lt;&gt;"",'ENC to Device Cables'!G734,"")</f>
        <v/>
      </c>
      <c r="C655" t="str">
        <f>IF(A655&lt;&gt;"",'ENC to Device Cables'!H734,"")</f>
        <v/>
      </c>
      <c r="D655" s="1" t="str">
        <f>IF(A655&lt;&gt;"",'ENC to Device Cables'!I734,"")</f>
        <v/>
      </c>
    </row>
    <row r="656" spans="1:4" x14ac:dyDescent="0.2">
      <c r="A656" t="str">
        <f>IF('ENC to Device Cables'!F735&lt;&gt;"",'ENC to Device Cables'!F735,"")</f>
        <v/>
      </c>
      <c r="B656" s="2" t="str">
        <f>IF(A656&lt;&gt;"",'ENC to Device Cables'!G735,"")</f>
        <v/>
      </c>
      <c r="C656" t="str">
        <f>IF(A656&lt;&gt;"",'ENC to Device Cables'!H735,"")</f>
        <v/>
      </c>
      <c r="D656" s="1" t="str">
        <f>IF(A656&lt;&gt;"",'ENC to Device Cables'!I735,"")</f>
        <v/>
      </c>
    </row>
    <row r="657" spans="1:4" x14ac:dyDescent="0.2">
      <c r="A657" t="str">
        <f>IF('ENC to Device Cables'!F736&lt;&gt;"",'ENC to Device Cables'!F736,"")</f>
        <v/>
      </c>
      <c r="B657" s="2" t="str">
        <f>IF(A657&lt;&gt;"",'ENC to Device Cables'!G736,"")</f>
        <v/>
      </c>
      <c r="C657" t="str">
        <f>IF(A657&lt;&gt;"",'ENC to Device Cables'!H736,"")</f>
        <v/>
      </c>
      <c r="D657" s="1" t="str">
        <f>IF(A657&lt;&gt;"",'ENC to Device Cables'!I736,"")</f>
        <v/>
      </c>
    </row>
    <row r="658" spans="1:4" x14ac:dyDescent="0.2">
      <c r="A658" t="str">
        <f>IF('ENC to Device Cables'!F737&lt;&gt;"",'ENC to Device Cables'!F737,"")</f>
        <v/>
      </c>
      <c r="B658" s="2" t="str">
        <f>IF(A658&lt;&gt;"",'ENC to Device Cables'!G737,"")</f>
        <v/>
      </c>
      <c r="C658" t="str">
        <f>IF(A658&lt;&gt;"",'ENC to Device Cables'!H737,"")</f>
        <v/>
      </c>
      <c r="D658" s="1" t="str">
        <f>IF(A658&lt;&gt;"",'ENC to Device Cables'!I737,"")</f>
        <v/>
      </c>
    </row>
    <row r="659" spans="1:4" x14ac:dyDescent="0.2">
      <c r="A659" t="str">
        <f>IF('ENC to Device Cables'!F738&lt;&gt;"",'ENC to Device Cables'!F738,"")</f>
        <v/>
      </c>
      <c r="B659" s="2" t="str">
        <f>IF(A659&lt;&gt;"",'ENC to Device Cables'!G738,"")</f>
        <v/>
      </c>
      <c r="C659" t="str">
        <f>IF(A659&lt;&gt;"",'ENC to Device Cables'!H738,"")</f>
        <v/>
      </c>
      <c r="D659" s="1" t="str">
        <f>IF(A659&lt;&gt;"",'ENC to Device Cables'!I738,"")</f>
        <v/>
      </c>
    </row>
    <row r="660" spans="1:4" x14ac:dyDescent="0.2">
      <c r="A660" t="str">
        <f>IF('ENC to Device Cables'!F739&lt;&gt;"",'ENC to Device Cables'!F739,"")</f>
        <v/>
      </c>
      <c r="B660" s="2" t="str">
        <f>IF(A660&lt;&gt;"",'ENC to Device Cables'!G739,"")</f>
        <v/>
      </c>
      <c r="C660" t="str">
        <f>IF(A660&lt;&gt;"",'ENC to Device Cables'!H739,"")</f>
        <v/>
      </c>
      <c r="D660" s="1" t="str">
        <f>IF(A660&lt;&gt;"",'ENC to Device Cables'!I739,"")</f>
        <v/>
      </c>
    </row>
    <row r="661" spans="1:4" x14ac:dyDescent="0.2">
      <c r="A661" t="str">
        <f>IF('ENC to Device Cables'!F740&lt;&gt;"",'ENC to Device Cables'!F740,"")</f>
        <v/>
      </c>
      <c r="B661" s="2" t="str">
        <f>IF(A661&lt;&gt;"",'ENC to Device Cables'!G740,"")</f>
        <v/>
      </c>
      <c r="C661" t="str">
        <f>IF(A661&lt;&gt;"",'ENC to Device Cables'!H740,"")</f>
        <v/>
      </c>
      <c r="D661" s="1" t="str">
        <f>IF(A661&lt;&gt;"",'ENC to Device Cables'!I740,"")</f>
        <v/>
      </c>
    </row>
    <row r="662" spans="1:4" x14ac:dyDescent="0.2">
      <c r="A662" t="str">
        <f>IF('ENC to Device Cables'!F741&lt;&gt;"",'ENC to Device Cables'!F741,"")</f>
        <v/>
      </c>
      <c r="B662" s="2" t="str">
        <f>IF(A662&lt;&gt;"",'ENC to Device Cables'!G741,"")</f>
        <v/>
      </c>
      <c r="C662" t="str">
        <f>IF(A662&lt;&gt;"",'ENC to Device Cables'!H741,"")</f>
        <v/>
      </c>
      <c r="D662" s="1" t="str">
        <f>IF(A662&lt;&gt;"",'ENC to Device Cables'!I741,"")</f>
        <v/>
      </c>
    </row>
    <row r="663" spans="1:4" x14ac:dyDescent="0.2">
      <c r="A663" t="str">
        <f>IF('ENC to Device Cables'!F742&lt;&gt;"",'ENC to Device Cables'!F742,"")</f>
        <v/>
      </c>
      <c r="B663" s="2" t="str">
        <f>IF(A663&lt;&gt;"",'ENC to Device Cables'!G742,"")</f>
        <v/>
      </c>
      <c r="C663" t="str">
        <f>IF(A663&lt;&gt;"",'ENC to Device Cables'!H742,"")</f>
        <v/>
      </c>
      <c r="D663" s="1" t="str">
        <f>IF(A663&lt;&gt;"",'ENC to Device Cables'!I742,"")</f>
        <v/>
      </c>
    </row>
    <row r="664" spans="1:4" x14ac:dyDescent="0.2">
      <c r="A664" t="str">
        <f>IF('ENC to Device Cables'!F743&lt;&gt;"",'ENC to Device Cables'!F743,"")</f>
        <v/>
      </c>
      <c r="B664" s="2" t="str">
        <f>IF(A664&lt;&gt;"",'ENC to Device Cables'!G743,"")</f>
        <v/>
      </c>
      <c r="C664" t="str">
        <f>IF(A664&lt;&gt;"",'ENC to Device Cables'!H743,"")</f>
        <v/>
      </c>
      <c r="D664" s="1" t="str">
        <f>IF(A664&lt;&gt;"",'ENC to Device Cables'!I743,"")</f>
        <v/>
      </c>
    </row>
    <row r="665" spans="1:4" x14ac:dyDescent="0.2">
      <c r="A665" t="str">
        <f>IF('ENC to Device Cables'!F744&lt;&gt;"",'ENC to Device Cables'!F744,"")</f>
        <v/>
      </c>
      <c r="B665" s="2" t="str">
        <f>IF(A665&lt;&gt;"",'ENC to Device Cables'!G744,"")</f>
        <v/>
      </c>
      <c r="C665" t="str">
        <f>IF(A665&lt;&gt;"",'ENC to Device Cables'!H744,"")</f>
        <v/>
      </c>
      <c r="D665" s="1" t="str">
        <f>IF(A665&lt;&gt;"",'ENC to Device Cables'!I744,"")</f>
        <v/>
      </c>
    </row>
    <row r="666" spans="1:4" x14ac:dyDescent="0.2">
      <c r="A666" t="str">
        <f>IF('ENC to Device Cables'!F745&lt;&gt;"",'ENC to Device Cables'!F745,"")</f>
        <v/>
      </c>
      <c r="B666" s="2" t="str">
        <f>IF(A666&lt;&gt;"",'ENC to Device Cables'!G745,"")</f>
        <v/>
      </c>
      <c r="C666" t="str">
        <f>IF(A666&lt;&gt;"",'ENC to Device Cables'!H745,"")</f>
        <v/>
      </c>
      <c r="D666" s="1" t="str">
        <f>IF(A666&lt;&gt;"",'ENC to Device Cables'!I745,"")</f>
        <v/>
      </c>
    </row>
    <row r="667" spans="1:4" x14ac:dyDescent="0.2">
      <c r="A667" t="str">
        <f>IF('ENC to Device Cables'!F746&lt;&gt;"",'ENC to Device Cables'!F746,"")</f>
        <v/>
      </c>
      <c r="B667" s="2" t="str">
        <f>IF(A667&lt;&gt;"",'ENC to Device Cables'!G746,"")</f>
        <v/>
      </c>
      <c r="C667" t="str">
        <f>IF(A667&lt;&gt;"",'ENC to Device Cables'!H746,"")</f>
        <v/>
      </c>
      <c r="D667" s="1" t="str">
        <f>IF(A667&lt;&gt;"",'ENC to Device Cables'!I746,"")</f>
        <v/>
      </c>
    </row>
    <row r="668" spans="1:4" x14ac:dyDescent="0.2">
      <c r="A668" t="str">
        <f>IF('ENC to Device Cables'!F747&lt;&gt;"",'ENC to Device Cables'!F747,"")</f>
        <v/>
      </c>
      <c r="B668" s="2" t="str">
        <f>IF(A668&lt;&gt;"",'ENC to Device Cables'!G747,"")</f>
        <v/>
      </c>
      <c r="C668" t="str">
        <f>IF(A668&lt;&gt;"",'ENC to Device Cables'!H747,"")</f>
        <v/>
      </c>
      <c r="D668" s="1" t="str">
        <f>IF(A668&lt;&gt;"",'ENC to Device Cables'!I747,"")</f>
        <v/>
      </c>
    </row>
    <row r="669" spans="1:4" x14ac:dyDescent="0.2">
      <c r="A669" t="str">
        <f>IF('ENC to Device Cables'!F748&lt;&gt;"",'ENC to Device Cables'!F748,"")</f>
        <v/>
      </c>
      <c r="B669" s="2" t="str">
        <f>IF(A669&lt;&gt;"",'ENC to Device Cables'!G748,"")</f>
        <v/>
      </c>
      <c r="C669" t="str">
        <f>IF(A669&lt;&gt;"",'ENC to Device Cables'!H748,"")</f>
        <v/>
      </c>
      <c r="D669" s="1" t="str">
        <f>IF(A669&lt;&gt;"",'ENC to Device Cables'!I748,"")</f>
        <v/>
      </c>
    </row>
    <row r="670" spans="1:4" x14ac:dyDescent="0.2">
      <c r="A670" t="str">
        <f>IF('ENC to Device Cables'!F749&lt;&gt;"",'ENC to Device Cables'!F749,"")</f>
        <v/>
      </c>
      <c r="B670" s="2" t="str">
        <f>IF(A670&lt;&gt;"",'ENC to Device Cables'!G749,"")</f>
        <v/>
      </c>
      <c r="C670" t="str">
        <f>IF(A670&lt;&gt;"",'ENC to Device Cables'!H749,"")</f>
        <v/>
      </c>
      <c r="D670" s="1" t="str">
        <f>IF(A670&lt;&gt;"",'ENC to Device Cables'!I749,"")</f>
        <v/>
      </c>
    </row>
    <row r="671" spans="1:4" x14ac:dyDescent="0.2">
      <c r="A671" t="str">
        <f>IF('ENC to Device Cables'!F750&lt;&gt;"",'ENC to Device Cables'!F750,"")</f>
        <v/>
      </c>
      <c r="B671" s="2" t="str">
        <f>IF(A671&lt;&gt;"",'ENC to Device Cables'!G750,"")</f>
        <v/>
      </c>
      <c r="C671" t="str">
        <f>IF(A671&lt;&gt;"",'ENC to Device Cables'!H750,"")</f>
        <v/>
      </c>
      <c r="D671" s="1" t="str">
        <f>IF(A671&lt;&gt;"",'ENC to Device Cables'!I750,"")</f>
        <v/>
      </c>
    </row>
    <row r="672" spans="1:4" x14ac:dyDescent="0.2">
      <c r="A672" t="str">
        <f>IF('ENC to Device Cables'!F751&lt;&gt;"",'ENC to Device Cables'!F751,"")</f>
        <v/>
      </c>
      <c r="B672" s="2" t="str">
        <f>IF(A672&lt;&gt;"",'ENC to Device Cables'!G751,"")</f>
        <v/>
      </c>
      <c r="C672" t="str">
        <f>IF(A672&lt;&gt;"",'ENC to Device Cables'!H751,"")</f>
        <v/>
      </c>
      <c r="D672" s="1" t="str">
        <f>IF(A672&lt;&gt;"",'ENC to Device Cables'!I751,"")</f>
        <v/>
      </c>
    </row>
    <row r="673" spans="1:4" x14ac:dyDescent="0.2">
      <c r="A673" t="str">
        <f>IF('ENC to Device Cables'!F752&lt;&gt;"",'ENC to Device Cables'!F752,"")</f>
        <v/>
      </c>
      <c r="B673" s="2" t="str">
        <f>IF(A673&lt;&gt;"",'ENC to Device Cables'!G752,"")</f>
        <v/>
      </c>
      <c r="C673" t="str">
        <f>IF(A673&lt;&gt;"",'ENC to Device Cables'!H752,"")</f>
        <v/>
      </c>
      <c r="D673" s="1" t="str">
        <f>IF(A673&lt;&gt;"",'ENC to Device Cables'!I752,"")</f>
        <v/>
      </c>
    </row>
    <row r="674" spans="1:4" x14ac:dyDescent="0.2">
      <c r="A674" t="str">
        <f>IF('ENC to Device Cables'!F753&lt;&gt;"",'ENC to Device Cables'!F753,"")</f>
        <v/>
      </c>
      <c r="B674" s="2" t="str">
        <f>IF(A674&lt;&gt;"",'ENC to Device Cables'!G753,"")</f>
        <v/>
      </c>
      <c r="C674" t="str">
        <f>IF(A674&lt;&gt;"",'ENC to Device Cables'!H753,"")</f>
        <v/>
      </c>
      <c r="D674" s="1" t="str">
        <f>IF(A674&lt;&gt;"",'ENC to Device Cables'!I753,"")</f>
        <v/>
      </c>
    </row>
    <row r="675" spans="1:4" x14ac:dyDescent="0.2">
      <c r="A675" t="str">
        <f>IF('ENC to Device Cables'!F754&lt;&gt;"",'ENC to Device Cables'!F754,"")</f>
        <v/>
      </c>
      <c r="B675" s="2" t="str">
        <f>IF(A675&lt;&gt;"",'ENC to Device Cables'!G754,"")</f>
        <v/>
      </c>
      <c r="C675" t="str">
        <f>IF(A675&lt;&gt;"",'ENC to Device Cables'!H754,"")</f>
        <v/>
      </c>
      <c r="D675" s="1" t="str">
        <f>IF(A675&lt;&gt;"",'ENC to Device Cables'!I754,"")</f>
        <v/>
      </c>
    </row>
    <row r="676" spans="1:4" x14ac:dyDescent="0.2">
      <c r="A676" t="str">
        <f>IF('ENC to Device Cables'!F755&lt;&gt;"",'ENC to Device Cables'!F755,"")</f>
        <v/>
      </c>
      <c r="B676" s="2" t="str">
        <f>IF(A676&lt;&gt;"",'ENC to Device Cables'!G755,"")</f>
        <v/>
      </c>
      <c r="C676" t="str">
        <f>IF(A676&lt;&gt;"",'ENC to Device Cables'!H755,"")</f>
        <v/>
      </c>
      <c r="D676" s="1" t="str">
        <f>IF(A676&lt;&gt;"",'ENC to Device Cables'!I755,"")</f>
        <v/>
      </c>
    </row>
    <row r="677" spans="1:4" x14ac:dyDescent="0.2">
      <c r="A677" t="str">
        <f>IF('ENC to Device Cables'!F756&lt;&gt;"",'ENC to Device Cables'!F756,"")</f>
        <v/>
      </c>
      <c r="B677" s="2" t="str">
        <f>IF(A677&lt;&gt;"",'ENC to Device Cables'!G756,"")</f>
        <v/>
      </c>
      <c r="C677" t="str">
        <f>IF(A677&lt;&gt;"",'ENC to Device Cables'!H756,"")</f>
        <v/>
      </c>
      <c r="D677" s="1" t="str">
        <f>IF(A677&lt;&gt;"",'ENC to Device Cables'!I756,"")</f>
        <v/>
      </c>
    </row>
    <row r="678" spans="1:4" x14ac:dyDescent="0.2">
      <c r="A678" t="str">
        <f>IF('ENC to Device Cables'!F757&lt;&gt;"",'ENC to Device Cables'!F757,"")</f>
        <v/>
      </c>
      <c r="B678" s="2" t="str">
        <f>IF(A678&lt;&gt;"",'ENC to Device Cables'!G757,"")</f>
        <v/>
      </c>
      <c r="C678" t="str">
        <f>IF(A678&lt;&gt;"",'ENC to Device Cables'!H757,"")</f>
        <v/>
      </c>
      <c r="D678" s="1" t="str">
        <f>IF(A678&lt;&gt;"",'ENC to Device Cables'!I757,"")</f>
        <v/>
      </c>
    </row>
    <row r="679" spans="1:4" x14ac:dyDescent="0.2">
      <c r="A679" t="str">
        <f>IF('ENC to Device Cables'!F758&lt;&gt;"",'ENC to Device Cables'!F758,"")</f>
        <v/>
      </c>
      <c r="B679" s="2" t="str">
        <f>IF(A679&lt;&gt;"",'ENC to Device Cables'!G758,"")</f>
        <v/>
      </c>
      <c r="C679" t="str">
        <f>IF(A679&lt;&gt;"",'ENC to Device Cables'!H758,"")</f>
        <v/>
      </c>
      <c r="D679" s="1" t="str">
        <f>IF(A679&lt;&gt;"",'ENC to Device Cables'!I758,"")</f>
        <v/>
      </c>
    </row>
    <row r="680" spans="1:4" x14ac:dyDescent="0.2">
      <c r="A680" t="str">
        <f>IF('ENC to Device Cables'!F759&lt;&gt;"",'ENC to Device Cables'!F759,"")</f>
        <v/>
      </c>
      <c r="B680" s="2" t="str">
        <f>IF(A680&lt;&gt;"",'ENC to Device Cables'!G759,"")</f>
        <v/>
      </c>
      <c r="C680" t="str">
        <f>IF(A680&lt;&gt;"",'ENC to Device Cables'!H759,"")</f>
        <v/>
      </c>
      <c r="D680" s="1" t="str">
        <f>IF(A680&lt;&gt;"",'ENC to Device Cables'!I759,"")</f>
        <v/>
      </c>
    </row>
    <row r="681" spans="1:4" x14ac:dyDescent="0.2">
      <c r="A681" t="str">
        <f>IF('ENC to Device Cables'!F760&lt;&gt;"",'ENC to Device Cables'!F760,"")</f>
        <v/>
      </c>
      <c r="B681" s="2" t="str">
        <f>IF(A681&lt;&gt;"",'ENC to Device Cables'!G760,"")</f>
        <v/>
      </c>
      <c r="C681" t="str">
        <f>IF(A681&lt;&gt;"",'ENC to Device Cables'!H760,"")</f>
        <v/>
      </c>
      <c r="D681" s="1" t="str">
        <f>IF(A681&lt;&gt;"",'ENC to Device Cables'!I760,"")</f>
        <v/>
      </c>
    </row>
    <row r="682" spans="1:4" x14ac:dyDescent="0.2">
      <c r="A682" t="str">
        <f>IF('ENC to Device Cables'!F761&lt;&gt;"",'ENC to Device Cables'!F761,"")</f>
        <v/>
      </c>
      <c r="B682" s="2" t="str">
        <f>IF(A682&lt;&gt;"",'ENC to Device Cables'!G761,"")</f>
        <v/>
      </c>
      <c r="C682" t="str">
        <f>IF(A682&lt;&gt;"",'ENC to Device Cables'!H761,"")</f>
        <v/>
      </c>
      <c r="D682" s="1" t="str">
        <f>IF(A682&lt;&gt;"",'ENC to Device Cables'!I761,"")</f>
        <v/>
      </c>
    </row>
    <row r="683" spans="1:4" x14ac:dyDescent="0.2">
      <c r="A683" t="str">
        <f>IF('ENC to Device Cables'!F762&lt;&gt;"",'ENC to Device Cables'!F762,"")</f>
        <v/>
      </c>
      <c r="B683" s="2" t="str">
        <f>IF(A683&lt;&gt;"",'ENC to Device Cables'!G762,"")</f>
        <v/>
      </c>
      <c r="C683" t="str">
        <f>IF(A683&lt;&gt;"",'ENC to Device Cables'!H762,"")</f>
        <v/>
      </c>
      <c r="D683" s="1" t="str">
        <f>IF(A683&lt;&gt;"",'ENC to Device Cables'!I762,"")</f>
        <v/>
      </c>
    </row>
    <row r="684" spans="1:4" x14ac:dyDescent="0.2">
      <c r="A684" t="str">
        <f>IF('ENC to Device Cables'!F763&lt;&gt;"",'ENC to Device Cables'!F763,"")</f>
        <v/>
      </c>
      <c r="B684" s="2" t="str">
        <f>IF(A684&lt;&gt;"",'ENC to Device Cables'!G763,"")</f>
        <v/>
      </c>
      <c r="C684" t="str">
        <f>IF(A684&lt;&gt;"",'ENC to Device Cables'!H763,"")</f>
        <v/>
      </c>
      <c r="D684" s="1" t="str">
        <f>IF(A684&lt;&gt;"",'ENC to Device Cables'!I763,"")</f>
        <v/>
      </c>
    </row>
    <row r="685" spans="1:4" x14ac:dyDescent="0.2">
      <c r="A685" t="str">
        <f>IF('ENC to Device Cables'!F764&lt;&gt;"",'ENC to Device Cables'!F764,"")</f>
        <v/>
      </c>
      <c r="B685" s="2" t="str">
        <f>IF(A685&lt;&gt;"",'ENC to Device Cables'!G764,"")</f>
        <v/>
      </c>
      <c r="C685" t="str">
        <f>IF(A685&lt;&gt;"",'ENC to Device Cables'!H764,"")</f>
        <v/>
      </c>
      <c r="D685" s="1" t="str">
        <f>IF(A685&lt;&gt;"",'ENC to Device Cables'!I764,"")</f>
        <v/>
      </c>
    </row>
    <row r="686" spans="1:4" x14ac:dyDescent="0.2">
      <c r="A686" t="str">
        <f>IF('ENC to Device Cables'!F765&lt;&gt;"",'ENC to Device Cables'!F765,"")</f>
        <v/>
      </c>
      <c r="B686" s="2" t="str">
        <f>IF(A686&lt;&gt;"",'ENC to Device Cables'!G765,"")</f>
        <v/>
      </c>
      <c r="C686" t="str">
        <f>IF(A686&lt;&gt;"",'ENC to Device Cables'!H765,"")</f>
        <v/>
      </c>
      <c r="D686" s="1" t="str">
        <f>IF(A686&lt;&gt;"",'ENC to Device Cables'!I765,"")</f>
        <v/>
      </c>
    </row>
    <row r="687" spans="1:4" x14ac:dyDescent="0.2">
      <c r="A687" t="str">
        <f>IF('ENC to Device Cables'!F766&lt;&gt;"",'ENC to Device Cables'!F766,"")</f>
        <v/>
      </c>
      <c r="B687" s="2" t="str">
        <f>IF(A687&lt;&gt;"",'ENC to Device Cables'!G766,"")</f>
        <v/>
      </c>
      <c r="C687" t="str">
        <f>IF(A687&lt;&gt;"",'ENC to Device Cables'!H766,"")</f>
        <v/>
      </c>
      <c r="D687" s="1" t="str">
        <f>IF(A687&lt;&gt;"",'ENC to Device Cables'!I766,"")</f>
        <v/>
      </c>
    </row>
    <row r="688" spans="1:4" x14ac:dyDescent="0.2">
      <c r="A688" t="str">
        <f>IF('ENC to Device Cables'!F767&lt;&gt;"",'ENC to Device Cables'!F767,"")</f>
        <v/>
      </c>
      <c r="B688" s="2" t="str">
        <f>IF(A688&lt;&gt;"",'ENC to Device Cables'!G767,"")</f>
        <v/>
      </c>
      <c r="C688" t="str">
        <f>IF(A688&lt;&gt;"",'ENC to Device Cables'!H767,"")</f>
        <v/>
      </c>
      <c r="D688" s="1" t="str">
        <f>IF(A688&lt;&gt;"",'ENC to Device Cables'!I767,"")</f>
        <v/>
      </c>
    </row>
    <row r="689" spans="1:4" x14ac:dyDescent="0.2">
      <c r="A689" t="str">
        <f>IF('ENC to Device Cables'!F768&lt;&gt;"",'ENC to Device Cables'!F768,"")</f>
        <v/>
      </c>
      <c r="B689" s="2" t="str">
        <f>IF(A689&lt;&gt;"",'ENC to Device Cables'!G768,"")</f>
        <v/>
      </c>
      <c r="C689" t="str">
        <f>IF(A689&lt;&gt;"",'ENC to Device Cables'!H768,"")</f>
        <v/>
      </c>
      <c r="D689" s="1" t="str">
        <f>IF(A689&lt;&gt;"",'ENC to Device Cables'!I768,"")</f>
        <v/>
      </c>
    </row>
    <row r="690" spans="1:4" x14ac:dyDescent="0.2">
      <c r="A690" t="str">
        <f>IF('ENC to Device Cables'!F769&lt;&gt;"",'ENC to Device Cables'!F769,"")</f>
        <v/>
      </c>
      <c r="B690" s="2" t="str">
        <f>IF(A690&lt;&gt;"",'ENC to Device Cables'!G769,"")</f>
        <v/>
      </c>
      <c r="C690" t="str">
        <f>IF(A690&lt;&gt;"",'ENC to Device Cables'!H769,"")</f>
        <v/>
      </c>
      <c r="D690" s="1" t="str">
        <f>IF(A690&lt;&gt;"",'ENC to Device Cables'!I769,"")</f>
        <v/>
      </c>
    </row>
    <row r="691" spans="1:4" x14ac:dyDescent="0.2">
      <c r="A691" t="str">
        <f>IF('ENC to Device Cables'!F770&lt;&gt;"",'ENC to Device Cables'!F770,"")</f>
        <v/>
      </c>
      <c r="B691" s="2" t="str">
        <f>IF(A691&lt;&gt;"",'ENC to Device Cables'!G770,"")</f>
        <v/>
      </c>
      <c r="C691" t="str">
        <f>IF(A691&lt;&gt;"",'ENC to Device Cables'!H770,"")</f>
        <v/>
      </c>
      <c r="D691" s="1" t="str">
        <f>IF(A691&lt;&gt;"",'ENC to Device Cables'!I770,"")</f>
        <v/>
      </c>
    </row>
    <row r="692" spans="1:4" x14ac:dyDescent="0.2">
      <c r="A692" t="str">
        <f>IF('ENC to Device Cables'!F771&lt;&gt;"",'ENC to Device Cables'!F771,"")</f>
        <v/>
      </c>
      <c r="B692" s="2" t="str">
        <f>IF(A692&lt;&gt;"",'ENC to Device Cables'!G771,"")</f>
        <v/>
      </c>
      <c r="C692" t="str">
        <f>IF(A692&lt;&gt;"",'ENC to Device Cables'!H771,"")</f>
        <v/>
      </c>
      <c r="D692" s="1" t="str">
        <f>IF(A692&lt;&gt;"",'ENC to Device Cables'!I771,"")</f>
        <v/>
      </c>
    </row>
    <row r="693" spans="1:4" x14ac:dyDescent="0.2">
      <c r="A693" t="str">
        <f>IF('ENC to Device Cables'!F772&lt;&gt;"",'ENC to Device Cables'!F772,"")</f>
        <v/>
      </c>
      <c r="B693" s="2" t="str">
        <f>IF(A693&lt;&gt;"",'ENC to Device Cables'!G772,"")</f>
        <v/>
      </c>
      <c r="C693" t="str">
        <f>IF(A693&lt;&gt;"",'ENC to Device Cables'!H772,"")</f>
        <v/>
      </c>
      <c r="D693" s="1" t="str">
        <f>IF(A693&lt;&gt;"",'ENC to Device Cables'!I772,"")</f>
        <v/>
      </c>
    </row>
    <row r="694" spans="1:4" x14ac:dyDescent="0.2">
      <c r="A694" t="str">
        <f>IF('ENC to Device Cables'!F773&lt;&gt;"",'ENC to Device Cables'!F773,"")</f>
        <v/>
      </c>
      <c r="B694" s="2" t="str">
        <f>IF(A694&lt;&gt;"",'ENC to Device Cables'!G773,"")</f>
        <v/>
      </c>
      <c r="C694" t="str">
        <f>IF(A694&lt;&gt;"",'ENC to Device Cables'!H773,"")</f>
        <v/>
      </c>
      <c r="D694" s="1" t="str">
        <f>IF(A694&lt;&gt;"",'ENC to Device Cables'!I773,"")</f>
        <v/>
      </c>
    </row>
    <row r="695" spans="1:4" x14ac:dyDescent="0.2">
      <c r="A695" t="str">
        <f>IF('ENC to Device Cables'!F774&lt;&gt;"",'ENC to Device Cables'!F774,"")</f>
        <v/>
      </c>
      <c r="B695" s="2" t="str">
        <f>IF(A695&lt;&gt;"",'ENC to Device Cables'!G774,"")</f>
        <v/>
      </c>
      <c r="C695" t="str">
        <f>IF(A695&lt;&gt;"",'ENC to Device Cables'!H774,"")</f>
        <v/>
      </c>
      <c r="D695" s="1" t="str">
        <f>IF(A695&lt;&gt;"",'ENC to Device Cables'!I774,"")</f>
        <v/>
      </c>
    </row>
    <row r="696" spans="1:4" x14ac:dyDescent="0.2">
      <c r="A696" t="str">
        <f>IF('ENC to Device Cables'!F775&lt;&gt;"",'ENC to Device Cables'!F775,"")</f>
        <v/>
      </c>
      <c r="B696" s="2" t="str">
        <f>IF(A696&lt;&gt;"",'ENC to Device Cables'!G775,"")</f>
        <v/>
      </c>
      <c r="C696" t="str">
        <f>IF(A696&lt;&gt;"",'ENC to Device Cables'!H775,"")</f>
        <v/>
      </c>
      <c r="D696" s="1" t="str">
        <f>IF(A696&lt;&gt;"",'ENC to Device Cables'!I775,"")</f>
        <v/>
      </c>
    </row>
    <row r="697" spans="1:4" x14ac:dyDescent="0.2">
      <c r="A697" t="str">
        <f>IF('ENC to Device Cables'!F776&lt;&gt;"",'ENC to Device Cables'!F776,"")</f>
        <v/>
      </c>
      <c r="B697" s="2" t="str">
        <f>IF(A697&lt;&gt;"",'ENC to Device Cables'!G776,"")</f>
        <v/>
      </c>
      <c r="C697" t="str">
        <f>IF(A697&lt;&gt;"",'ENC to Device Cables'!H776,"")</f>
        <v/>
      </c>
      <c r="D697" s="1" t="str">
        <f>IF(A697&lt;&gt;"",'ENC to Device Cables'!I776,"")</f>
        <v/>
      </c>
    </row>
    <row r="698" spans="1:4" x14ac:dyDescent="0.2">
      <c r="A698" t="str">
        <f>IF('ENC to Device Cables'!F777&lt;&gt;"",'ENC to Device Cables'!F777,"")</f>
        <v/>
      </c>
      <c r="B698" s="2" t="str">
        <f>IF(A698&lt;&gt;"",'ENC to Device Cables'!G777,"")</f>
        <v/>
      </c>
      <c r="C698" t="str">
        <f>IF(A698&lt;&gt;"",'ENC to Device Cables'!H777,"")</f>
        <v/>
      </c>
      <c r="D698" s="1" t="str">
        <f>IF(A698&lt;&gt;"",'ENC to Device Cables'!I777,"")</f>
        <v/>
      </c>
    </row>
    <row r="699" spans="1:4" x14ac:dyDescent="0.2">
      <c r="A699" t="str">
        <f>IF('ENC to Device Cables'!F778&lt;&gt;"",'ENC to Device Cables'!F778,"")</f>
        <v/>
      </c>
      <c r="B699" s="2" t="str">
        <f>IF(A699&lt;&gt;"",'ENC to Device Cables'!G778,"")</f>
        <v/>
      </c>
      <c r="C699" t="str">
        <f>IF(A699&lt;&gt;"",'ENC to Device Cables'!H778,"")</f>
        <v/>
      </c>
      <c r="D699" s="1" t="str">
        <f>IF(A699&lt;&gt;"",'ENC to Device Cables'!I778,"")</f>
        <v/>
      </c>
    </row>
    <row r="700" spans="1:4" x14ac:dyDescent="0.2">
      <c r="A700" t="str">
        <f>IF('ENC to Device Cables'!F779&lt;&gt;"",'ENC to Device Cables'!F779,"")</f>
        <v/>
      </c>
      <c r="B700" s="2" t="str">
        <f>IF(A700&lt;&gt;"",'ENC to Device Cables'!G779,"")</f>
        <v/>
      </c>
      <c r="C700" t="str">
        <f>IF(A700&lt;&gt;"",'ENC to Device Cables'!H779,"")</f>
        <v/>
      </c>
      <c r="D700" s="1" t="str">
        <f>IF(A700&lt;&gt;"",'ENC to Device Cables'!I779,"")</f>
        <v/>
      </c>
    </row>
    <row r="701" spans="1:4" x14ac:dyDescent="0.2">
      <c r="A701" t="str">
        <f>IF('ENC to Device Cables'!F780&lt;&gt;"",'ENC to Device Cables'!F780,"")</f>
        <v/>
      </c>
      <c r="B701" s="2" t="str">
        <f>IF(A701&lt;&gt;"",'ENC to Device Cables'!G780,"")</f>
        <v/>
      </c>
      <c r="C701" t="str">
        <f>IF(A701&lt;&gt;"",'ENC to Device Cables'!H780,"")</f>
        <v/>
      </c>
      <c r="D701" s="1" t="str">
        <f>IF(A701&lt;&gt;"",'ENC to Device Cables'!I780,"")</f>
        <v/>
      </c>
    </row>
    <row r="702" spans="1:4" x14ac:dyDescent="0.2">
      <c r="A702" t="str">
        <f>IF('ENC to Device Cables'!F781&lt;&gt;"",'ENC to Device Cables'!F781,"")</f>
        <v/>
      </c>
      <c r="B702" s="2" t="str">
        <f>IF(A702&lt;&gt;"",'ENC to Device Cables'!G781,"")</f>
        <v/>
      </c>
      <c r="C702" t="str">
        <f>IF(A702&lt;&gt;"",'ENC to Device Cables'!H781,"")</f>
        <v/>
      </c>
      <c r="D702" s="1" t="str">
        <f>IF(A702&lt;&gt;"",'ENC to Device Cables'!I781,"")</f>
        <v/>
      </c>
    </row>
    <row r="703" spans="1:4" x14ac:dyDescent="0.2">
      <c r="A703" t="str">
        <f>IF('ENC to Device Cables'!F782&lt;&gt;"",'ENC to Device Cables'!F782,"")</f>
        <v/>
      </c>
      <c r="B703" s="2" t="str">
        <f>IF(A703&lt;&gt;"",'ENC to Device Cables'!G782,"")</f>
        <v/>
      </c>
      <c r="C703" t="str">
        <f>IF(A703&lt;&gt;"",'ENC to Device Cables'!H782,"")</f>
        <v/>
      </c>
      <c r="D703" s="1" t="str">
        <f>IF(A703&lt;&gt;"",'ENC to Device Cables'!I782,"")</f>
        <v/>
      </c>
    </row>
    <row r="704" spans="1:4" x14ac:dyDescent="0.2">
      <c r="A704" t="str">
        <f>IF('ENC to Device Cables'!F783&lt;&gt;"",'ENC to Device Cables'!F783,"")</f>
        <v/>
      </c>
      <c r="B704" s="2" t="str">
        <f>IF(A704&lt;&gt;"",'ENC to Device Cables'!G783,"")</f>
        <v/>
      </c>
      <c r="C704" t="str">
        <f>IF(A704&lt;&gt;"",'ENC to Device Cables'!H783,"")</f>
        <v/>
      </c>
      <c r="D704" s="1" t="str">
        <f>IF(A704&lt;&gt;"",'ENC to Device Cables'!I783,"")</f>
        <v/>
      </c>
    </row>
    <row r="705" spans="1:4" x14ac:dyDescent="0.2">
      <c r="A705" t="str">
        <f>IF('ENC to Device Cables'!F784&lt;&gt;"",'ENC to Device Cables'!F784,"")</f>
        <v/>
      </c>
      <c r="B705" s="2" t="str">
        <f>IF(A705&lt;&gt;"",'ENC to Device Cables'!G784,"")</f>
        <v/>
      </c>
      <c r="C705" t="str">
        <f>IF(A705&lt;&gt;"",'ENC to Device Cables'!H784,"")</f>
        <v/>
      </c>
      <c r="D705" s="1" t="str">
        <f>IF(A705&lt;&gt;"",'ENC to Device Cables'!I784,"")</f>
        <v/>
      </c>
    </row>
    <row r="706" spans="1:4" x14ac:dyDescent="0.2">
      <c r="A706" t="str">
        <f>IF('ENC to Device Cables'!F785&lt;&gt;"",'ENC to Device Cables'!F785,"")</f>
        <v/>
      </c>
      <c r="B706" s="2" t="str">
        <f>IF(A706&lt;&gt;"",'ENC to Device Cables'!G785,"")</f>
        <v/>
      </c>
      <c r="C706" t="str">
        <f>IF(A706&lt;&gt;"",'ENC to Device Cables'!H785,"")</f>
        <v/>
      </c>
      <c r="D706" s="1" t="str">
        <f>IF(A706&lt;&gt;"",'ENC to Device Cables'!I785,"")</f>
        <v/>
      </c>
    </row>
    <row r="707" spans="1:4" x14ac:dyDescent="0.2">
      <c r="A707" t="str">
        <f>IF('ENC to Device Cables'!F786&lt;&gt;"",'ENC to Device Cables'!F786,"")</f>
        <v/>
      </c>
      <c r="B707" s="2" t="str">
        <f>IF(A707&lt;&gt;"",'ENC to Device Cables'!G786,"")</f>
        <v/>
      </c>
      <c r="C707" t="str">
        <f>IF(A707&lt;&gt;"",'ENC to Device Cables'!H786,"")</f>
        <v/>
      </c>
      <c r="D707" s="1" t="str">
        <f>IF(A707&lt;&gt;"",'ENC to Device Cables'!I786,"")</f>
        <v/>
      </c>
    </row>
    <row r="708" spans="1:4" x14ac:dyDescent="0.2">
      <c r="A708" t="str">
        <f>IF('ENC to Device Cables'!F787&lt;&gt;"",'ENC to Device Cables'!F787,"")</f>
        <v/>
      </c>
      <c r="B708" s="2" t="str">
        <f>IF(A708&lt;&gt;"",'ENC to Device Cables'!G787,"")</f>
        <v/>
      </c>
      <c r="C708" t="str">
        <f>IF(A708&lt;&gt;"",'ENC to Device Cables'!H787,"")</f>
        <v/>
      </c>
      <c r="D708" s="1" t="str">
        <f>IF(A708&lt;&gt;"",'ENC to Device Cables'!I787,"")</f>
        <v/>
      </c>
    </row>
    <row r="709" spans="1:4" x14ac:dyDescent="0.2">
      <c r="A709" t="str">
        <f>IF('ENC to Device Cables'!F788&lt;&gt;"",'ENC to Device Cables'!F788,"")</f>
        <v/>
      </c>
      <c r="B709" s="2" t="str">
        <f>IF(A709&lt;&gt;"",'ENC to Device Cables'!G788,"")</f>
        <v/>
      </c>
      <c r="C709" t="str">
        <f>IF(A709&lt;&gt;"",'ENC to Device Cables'!H788,"")</f>
        <v/>
      </c>
      <c r="D709" s="1" t="str">
        <f>IF(A709&lt;&gt;"",'ENC to Device Cables'!I788,"")</f>
        <v/>
      </c>
    </row>
    <row r="710" spans="1:4" x14ac:dyDescent="0.2">
      <c r="A710" t="str">
        <f>IF('ENC to Device Cables'!F789&lt;&gt;"",'ENC to Device Cables'!F789,"")</f>
        <v/>
      </c>
      <c r="B710" s="2" t="str">
        <f>IF(A710&lt;&gt;"",'ENC to Device Cables'!G789,"")</f>
        <v/>
      </c>
      <c r="C710" t="str">
        <f>IF(A710&lt;&gt;"",'ENC to Device Cables'!H789,"")</f>
        <v/>
      </c>
      <c r="D710" s="1" t="str">
        <f>IF(A710&lt;&gt;"",'ENC to Device Cables'!I789,"")</f>
        <v/>
      </c>
    </row>
    <row r="711" spans="1:4" x14ac:dyDescent="0.2">
      <c r="A711" t="str">
        <f>IF('ENC to Device Cables'!F790&lt;&gt;"",'ENC to Device Cables'!F790,"")</f>
        <v/>
      </c>
      <c r="B711" s="2" t="str">
        <f>IF(A711&lt;&gt;"",'ENC to Device Cables'!G790,"")</f>
        <v/>
      </c>
      <c r="C711" t="str">
        <f>IF(A711&lt;&gt;"",'ENC to Device Cables'!H790,"")</f>
        <v/>
      </c>
      <c r="D711" s="1" t="str">
        <f>IF(A711&lt;&gt;"",'ENC to Device Cables'!I790,"")</f>
        <v/>
      </c>
    </row>
    <row r="712" spans="1:4" x14ac:dyDescent="0.2">
      <c r="A712" t="str">
        <f>IF('ENC to Device Cables'!F791&lt;&gt;"",'ENC to Device Cables'!F791,"")</f>
        <v/>
      </c>
      <c r="B712" s="2" t="str">
        <f>IF(A712&lt;&gt;"",'ENC to Device Cables'!G791,"")</f>
        <v/>
      </c>
      <c r="C712" t="str">
        <f>IF(A712&lt;&gt;"",'ENC to Device Cables'!H791,"")</f>
        <v/>
      </c>
      <c r="D712" s="1" t="str">
        <f>IF(A712&lt;&gt;"",'ENC to Device Cables'!I791,"")</f>
        <v/>
      </c>
    </row>
    <row r="713" spans="1:4" x14ac:dyDescent="0.2">
      <c r="A713" t="str">
        <f>IF('ENC to Device Cables'!F792&lt;&gt;"",'ENC to Device Cables'!F792,"")</f>
        <v/>
      </c>
      <c r="B713" s="2" t="str">
        <f>IF(A713&lt;&gt;"",'ENC to Device Cables'!G792,"")</f>
        <v/>
      </c>
      <c r="C713" t="str">
        <f>IF(A713&lt;&gt;"",'ENC to Device Cables'!H792,"")</f>
        <v/>
      </c>
      <c r="D713" s="1" t="str">
        <f>IF(A713&lt;&gt;"",'ENC to Device Cables'!I792,"")</f>
        <v/>
      </c>
    </row>
    <row r="714" spans="1:4" x14ac:dyDescent="0.2">
      <c r="A714" t="str">
        <f>IF('ENC to Device Cables'!F793&lt;&gt;"",'ENC to Device Cables'!F793,"")</f>
        <v/>
      </c>
      <c r="B714" s="2" t="str">
        <f>IF(A714&lt;&gt;"",'ENC to Device Cables'!G793,"")</f>
        <v/>
      </c>
      <c r="C714" t="str">
        <f>IF(A714&lt;&gt;"",'ENC to Device Cables'!H793,"")</f>
        <v/>
      </c>
      <c r="D714" s="1" t="str">
        <f>IF(A714&lt;&gt;"",'ENC to Device Cables'!I793,"")</f>
        <v/>
      </c>
    </row>
    <row r="715" spans="1:4" x14ac:dyDescent="0.2">
      <c r="A715" t="str">
        <f>IF('ENC to Device Cables'!F794&lt;&gt;"",'ENC to Device Cables'!F794,"")</f>
        <v/>
      </c>
      <c r="B715" s="2" t="str">
        <f>IF(A715&lt;&gt;"",'ENC to Device Cables'!G794,"")</f>
        <v/>
      </c>
      <c r="C715" t="str">
        <f>IF(A715&lt;&gt;"",'ENC to Device Cables'!H794,"")</f>
        <v/>
      </c>
      <c r="D715" s="1" t="str">
        <f>IF(A715&lt;&gt;"",'ENC to Device Cables'!I794,"")</f>
        <v/>
      </c>
    </row>
    <row r="716" spans="1:4" x14ac:dyDescent="0.2">
      <c r="A716" t="str">
        <f>IF('ENC to Device Cables'!F795&lt;&gt;"",'ENC to Device Cables'!F795,"")</f>
        <v/>
      </c>
      <c r="B716" s="2" t="str">
        <f>IF(A716&lt;&gt;"",'ENC to Device Cables'!G795,"")</f>
        <v/>
      </c>
      <c r="C716" t="str">
        <f>IF(A716&lt;&gt;"",'ENC to Device Cables'!H795,"")</f>
        <v/>
      </c>
      <c r="D716" s="1" t="str">
        <f>IF(A716&lt;&gt;"",'ENC to Device Cables'!I795,"")</f>
        <v/>
      </c>
    </row>
    <row r="717" spans="1:4" x14ac:dyDescent="0.2">
      <c r="A717" t="str">
        <f>IF('ENC to Device Cables'!F796&lt;&gt;"",'ENC to Device Cables'!F796,"")</f>
        <v/>
      </c>
      <c r="B717" s="2" t="str">
        <f>IF(A717&lt;&gt;"",'ENC to Device Cables'!G796,"")</f>
        <v/>
      </c>
      <c r="C717" t="str">
        <f>IF(A717&lt;&gt;"",'ENC to Device Cables'!H796,"")</f>
        <v/>
      </c>
      <c r="D717" s="1" t="str">
        <f>IF(A717&lt;&gt;"",'ENC to Device Cables'!I796,"")</f>
        <v/>
      </c>
    </row>
    <row r="718" spans="1:4" x14ac:dyDescent="0.2">
      <c r="A718" t="str">
        <f>IF('ENC to Device Cables'!F797&lt;&gt;"",'ENC to Device Cables'!F797,"")</f>
        <v/>
      </c>
      <c r="B718" s="2" t="str">
        <f>IF(A718&lt;&gt;"",'ENC to Device Cables'!G797,"")</f>
        <v/>
      </c>
      <c r="C718" t="str">
        <f>IF(A718&lt;&gt;"",'ENC to Device Cables'!H797,"")</f>
        <v/>
      </c>
      <c r="D718" s="1" t="str">
        <f>IF(A718&lt;&gt;"",'ENC to Device Cables'!I797,"")</f>
        <v/>
      </c>
    </row>
    <row r="719" spans="1:4" x14ac:dyDescent="0.2">
      <c r="A719" t="str">
        <f>IF('ENC to Device Cables'!F798&lt;&gt;"",'ENC to Device Cables'!F798,"")</f>
        <v/>
      </c>
      <c r="B719" s="2" t="str">
        <f>IF(A719&lt;&gt;"",'ENC to Device Cables'!G798,"")</f>
        <v/>
      </c>
      <c r="C719" t="str">
        <f>IF(A719&lt;&gt;"",'ENC to Device Cables'!H798,"")</f>
        <v/>
      </c>
      <c r="D719" s="1" t="str">
        <f>IF(A719&lt;&gt;"",'ENC to Device Cables'!I798,"")</f>
        <v/>
      </c>
    </row>
    <row r="720" spans="1:4" x14ac:dyDescent="0.2">
      <c r="A720" t="str">
        <f>IF('ENC to Device Cables'!F799&lt;&gt;"",'ENC to Device Cables'!F799,"")</f>
        <v/>
      </c>
      <c r="B720" s="2" t="str">
        <f>IF(A720&lt;&gt;"",'ENC to Device Cables'!G799,"")</f>
        <v/>
      </c>
      <c r="C720" t="str">
        <f>IF(A720&lt;&gt;"",'ENC to Device Cables'!H799,"")</f>
        <v/>
      </c>
      <c r="D720" s="1" t="str">
        <f>IF(A720&lt;&gt;"",'ENC to Device Cables'!I799,"")</f>
        <v/>
      </c>
    </row>
    <row r="721" spans="1:4" x14ac:dyDescent="0.2">
      <c r="A721" t="str">
        <f>IF('ENC to Device Cables'!F800&lt;&gt;"",'ENC to Device Cables'!F800,"")</f>
        <v/>
      </c>
      <c r="B721" s="2" t="str">
        <f>IF(A721&lt;&gt;"",'ENC to Device Cables'!G800,"")</f>
        <v/>
      </c>
      <c r="C721" t="str">
        <f>IF(A721&lt;&gt;"",'ENC to Device Cables'!H800,"")</f>
        <v/>
      </c>
      <c r="D721" s="1" t="str">
        <f>IF(A721&lt;&gt;"",'ENC to Device Cables'!I800,"")</f>
        <v/>
      </c>
    </row>
    <row r="722" spans="1:4" x14ac:dyDescent="0.2">
      <c r="A722" t="str">
        <f>IF('ENC to Device Cables'!F801&lt;&gt;"",'ENC to Device Cables'!F801,"")</f>
        <v/>
      </c>
      <c r="B722" s="2" t="str">
        <f>IF(A722&lt;&gt;"",'ENC to Device Cables'!G801,"")</f>
        <v/>
      </c>
      <c r="C722" t="str">
        <f>IF(A722&lt;&gt;"",'ENC to Device Cables'!H801,"")</f>
        <v/>
      </c>
      <c r="D722" s="1" t="str">
        <f>IF(A722&lt;&gt;"",'ENC to Device Cables'!I801,"")</f>
        <v/>
      </c>
    </row>
    <row r="723" spans="1:4" x14ac:dyDescent="0.2">
      <c r="A723" t="str">
        <f>IF('ENC to Device Cables'!F802&lt;&gt;"",'ENC to Device Cables'!F802,"")</f>
        <v/>
      </c>
      <c r="B723" s="2" t="str">
        <f>IF(A723&lt;&gt;"",'ENC to Device Cables'!G802,"")</f>
        <v/>
      </c>
      <c r="C723" t="str">
        <f>IF(A723&lt;&gt;"",'ENC to Device Cables'!H802,"")</f>
        <v/>
      </c>
      <c r="D723" s="1" t="str">
        <f>IF(A723&lt;&gt;"",'ENC to Device Cables'!I802,"")</f>
        <v/>
      </c>
    </row>
    <row r="724" spans="1:4" x14ac:dyDescent="0.2">
      <c r="A724" t="str">
        <f>IF('ENC to Device Cables'!F803&lt;&gt;"",'ENC to Device Cables'!F803,"")</f>
        <v/>
      </c>
      <c r="B724" s="2" t="str">
        <f>IF(A724&lt;&gt;"",'ENC to Device Cables'!G803,"")</f>
        <v/>
      </c>
      <c r="C724" t="str">
        <f>IF(A724&lt;&gt;"",'ENC to Device Cables'!H803,"")</f>
        <v/>
      </c>
      <c r="D724" s="1" t="str">
        <f>IF(A724&lt;&gt;"",'ENC to Device Cables'!I803,"")</f>
        <v/>
      </c>
    </row>
    <row r="725" spans="1:4" x14ac:dyDescent="0.2">
      <c r="A725" t="str">
        <f>IF('ENC to Device Cables'!F804&lt;&gt;"",'ENC to Device Cables'!F804,"")</f>
        <v/>
      </c>
      <c r="B725" s="2" t="str">
        <f>IF(A725&lt;&gt;"",'ENC to Device Cables'!G804,"")</f>
        <v/>
      </c>
      <c r="C725" t="str">
        <f>IF(A725&lt;&gt;"",'ENC to Device Cables'!H804,"")</f>
        <v/>
      </c>
      <c r="D725" s="1" t="str">
        <f>IF(A725&lt;&gt;"",'ENC to Device Cables'!I804,"")</f>
        <v/>
      </c>
    </row>
    <row r="726" spans="1:4" x14ac:dyDescent="0.2">
      <c r="A726" t="str">
        <f>IF('ENC to Device Cables'!F805&lt;&gt;"",'ENC to Device Cables'!F805,"")</f>
        <v/>
      </c>
      <c r="B726" s="2" t="str">
        <f>IF(A726&lt;&gt;"",'ENC to Device Cables'!G805,"")</f>
        <v/>
      </c>
      <c r="C726" t="str">
        <f>IF(A726&lt;&gt;"",'ENC to Device Cables'!H805,"")</f>
        <v/>
      </c>
      <c r="D726" s="1" t="str">
        <f>IF(A726&lt;&gt;"",'ENC to Device Cables'!I805,"")</f>
        <v/>
      </c>
    </row>
    <row r="727" spans="1:4" x14ac:dyDescent="0.2">
      <c r="A727" t="str">
        <f>IF('ENC to Device Cables'!F806&lt;&gt;"",'ENC to Device Cables'!F806,"")</f>
        <v/>
      </c>
      <c r="B727" s="2" t="str">
        <f>IF(A727&lt;&gt;"",'ENC to Device Cables'!G806,"")</f>
        <v/>
      </c>
      <c r="C727" t="str">
        <f>IF(A727&lt;&gt;"",'ENC to Device Cables'!H806,"")</f>
        <v/>
      </c>
      <c r="D727" s="1" t="str">
        <f>IF(A727&lt;&gt;"",'ENC to Device Cables'!I806,"")</f>
        <v/>
      </c>
    </row>
    <row r="728" spans="1:4" x14ac:dyDescent="0.2">
      <c r="A728" t="str">
        <f>IF('ENC to Device Cables'!F807&lt;&gt;"",'ENC to Device Cables'!F807,"")</f>
        <v/>
      </c>
      <c r="B728" s="2" t="str">
        <f>IF(A728&lt;&gt;"",'ENC to Device Cables'!G807,"")</f>
        <v/>
      </c>
      <c r="C728" t="str">
        <f>IF(A728&lt;&gt;"",'ENC to Device Cables'!H807,"")</f>
        <v/>
      </c>
      <c r="D728" s="1" t="str">
        <f>IF(A728&lt;&gt;"",'ENC to Device Cables'!I807,"")</f>
        <v/>
      </c>
    </row>
    <row r="729" spans="1:4" x14ac:dyDescent="0.2">
      <c r="A729" t="str">
        <f>IF('ENC to Device Cables'!F808&lt;&gt;"",'ENC to Device Cables'!F808,"")</f>
        <v/>
      </c>
      <c r="B729" s="2" t="str">
        <f>IF(A729&lt;&gt;"",'ENC to Device Cables'!G808,"")</f>
        <v/>
      </c>
      <c r="C729" t="str">
        <f>IF(A729&lt;&gt;"",'ENC to Device Cables'!H808,"")</f>
        <v/>
      </c>
      <c r="D729" s="1" t="str">
        <f>IF(A729&lt;&gt;"",'ENC to Device Cables'!I808,"")</f>
        <v/>
      </c>
    </row>
    <row r="730" spans="1:4" x14ac:dyDescent="0.2">
      <c r="A730" t="str">
        <f>IF('ENC to Device Cables'!F809&lt;&gt;"",'ENC to Device Cables'!F809,"")</f>
        <v/>
      </c>
      <c r="B730" s="2" t="str">
        <f>IF(A730&lt;&gt;"",'ENC to Device Cables'!G809,"")</f>
        <v/>
      </c>
      <c r="C730" t="str">
        <f>IF(A730&lt;&gt;"",'ENC to Device Cables'!H809,"")</f>
        <v/>
      </c>
      <c r="D730" s="1" t="str">
        <f>IF(A730&lt;&gt;"",'ENC to Device Cables'!I809,"")</f>
        <v/>
      </c>
    </row>
    <row r="731" spans="1:4" x14ac:dyDescent="0.2">
      <c r="A731" t="str">
        <f>IF('ENC to Device Cables'!F810&lt;&gt;"",'ENC to Device Cables'!F810,"")</f>
        <v/>
      </c>
      <c r="B731" s="2" t="str">
        <f>IF(A731&lt;&gt;"",'ENC to Device Cables'!G810,"")</f>
        <v/>
      </c>
      <c r="C731" t="str">
        <f>IF(A731&lt;&gt;"",'ENC to Device Cables'!H810,"")</f>
        <v/>
      </c>
      <c r="D731" s="1" t="str">
        <f>IF(A731&lt;&gt;"",'ENC to Device Cables'!I810,"")</f>
        <v/>
      </c>
    </row>
    <row r="732" spans="1:4" x14ac:dyDescent="0.2">
      <c r="A732" t="str">
        <f>IF('ENC to Device Cables'!F811&lt;&gt;"",'ENC to Device Cables'!F811,"")</f>
        <v/>
      </c>
      <c r="B732" s="2" t="str">
        <f>IF(A732&lt;&gt;"",'ENC to Device Cables'!G811,"")</f>
        <v/>
      </c>
      <c r="C732" t="str">
        <f>IF(A732&lt;&gt;"",'ENC to Device Cables'!H811,"")</f>
        <v/>
      </c>
      <c r="D732" s="1" t="str">
        <f>IF(A732&lt;&gt;"",'ENC to Device Cables'!I811,"")</f>
        <v/>
      </c>
    </row>
    <row r="733" spans="1:4" x14ac:dyDescent="0.2">
      <c r="A733" t="str">
        <f>IF('ENC to Device Cables'!F812&lt;&gt;"",'ENC to Device Cables'!F812,"")</f>
        <v/>
      </c>
      <c r="B733" s="2" t="str">
        <f>IF(A733&lt;&gt;"",'ENC to Device Cables'!G812,"")</f>
        <v/>
      </c>
      <c r="C733" t="str">
        <f>IF(A733&lt;&gt;"",'ENC to Device Cables'!H812,"")</f>
        <v/>
      </c>
      <c r="D733" s="1" t="str">
        <f>IF(A733&lt;&gt;"",'ENC to Device Cables'!I812,"")</f>
        <v/>
      </c>
    </row>
    <row r="734" spans="1:4" x14ac:dyDescent="0.2">
      <c r="A734" t="str">
        <f>IF('ENC to Device Cables'!F813&lt;&gt;"",'ENC to Device Cables'!F813,"")</f>
        <v/>
      </c>
      <c r="B734" s="2" t="str">
        <f>IF(A734&lt;&gt;"",'ENC to Device Cables'!G813,"")</f>
        <v/>
      </c>
      <c r="C734" t="str">
        <f>IF(A734&lt;&gt;"",'ENC to Device Cables'!H813,"")</f>
        <v/>
      </c>
      <c r="D734" s="1" t="str">
        <f>IF(A734&lt;&gt;"",'ENC to Device Cables'!I813,"")</f>
        <v/>
      </c>
    </row>
    <row r="735" spans="1:4" x14ac:dyDescent="0.2">
      <c r="A735" t="str">
        <f>IF('ENC to Device Cables'!F814&lt;&gt;"",'ENC to Device Cables'!F814,"")</f>
        <v/>
      </c>
      <c r="B735" s="2" t="str">
        <f>IF(A735&lt;&gt;"",'ENC to Device Cables'!G814,"")</f>
        <v/>
      </c>
      <c r="C735" t="str">
        <f>IF(A735&lt;&gt;"",'ENC to Device Cables'!H814,"")</f>
        <v/>
      </c>
      <c r="D735" s="1" t="str">
        <f>IF(A735&lt;&gt;"",'ENC to Device Cables'!I814,"")</f>
        <v/>
      </c>
    </row>
    <row r="736" spans="1:4" x14ac:dyDescent="0.2">
      <c r="A736" t="str">
        <f>IF('ENC to Device Cables'!F815&lt;&gt;"",'ENC to Device Cables'!F815,"")</f>
        <v/>
      </c>
      <c r="B736" s="2" t="str">
        <f>IF(A736&lt;&gt;"",'ENC to Device Cables'!G815,"")</f>
        <v/>
      </c>
      <c r="C736" t="str">
        <f>IF(A736&lt;&gt;"",'ENC to Device Cables'!H815,"")</f>
        <v/>
      </c>
      <c r="D736" s="1" t="str">
        <f>IF(A736&lt;&gt;"",'ENC to Device Cables'!I815,"")</f>
        <v/>
      </c>
    </row>
    <row r="737" spans="1:4" x14ac:dyDescent="0.2">
      <c r="A737" t="str">
        <f>IF('ENC to Device Cables'!F816&lt;&gt;"",'ENC to Device Cables'!F816,"")</f>
        <v/>
      </c>
      <c r="B737" s="2" t="str">
        <f>IF(A737&lt;&gt;"",'ENC to Device Cables'!G816,"")</f>
        <v/>
      </c>
      <c r="C737" t="str">
        <f>IF(A737&lt;&gt;"",'ENC to Device Cables'!H816,"")</f>
        <v/>
      </c>
      <c r="D737" s="1" t="str">
        <f>IF(A737&lt;&gt;"",'ENC to Device Cables'!I816,"")</f>
        <v/>
      </c>
    </row>
    <row r="738" spans="1:4" x14ac:dyDescent="0.2">
      <c r="A738" t="str">
        <f>IF('ENC to Device Cables'!F817&lt;&gt;"",'ENC to Device Cables'!F817,"")</f>
        <v/>
      </c>
      <c r="B738" s="2" t="str">
        <f>IF(A738&lt;&gt;"",'ENC to Device Cables'!G817,"")</f>
        <v/>
      </c>
      <c r="C738" t="str">
        <f>IF(A738&lt;&gt;"",'ENC to Device Cables'!H817,"")</f>
        <v/>
      </c>
      <c r="D738" s="1" t="str">
        <f>IF(A738&lt;&gt;"",'ENC to Device Cables'!I817,"")</f>
        <v/>
      </c>
    </row>
    <row r="739" spans="1:4" x14ac:dyDescent="0.2">
      <c r="A739" t="str">
        <f>IF('ENC to Device Cables'!F818&lt;&gt;"",'ENC to Device Cables'!F818,"")</f>
        <v/>
      </c>
      <c r="B739" s="2" t="str">
        <f>IF(A739&lt;&gt;"",'ENC to Device Cables'!G818,"")</f>
        <v/>
      </c>
      <c r="C739" t="str">
        <f>IF(A739&lt;&gt;"",'ENC to Device Cables'!H818,"")</f>
        <v/>
      </c>
      <c r="D739" s="1" t="str">
        <f>IF(A739&lt;&gt;"",'ENC to Device Cables'!I818,"")</f>
        <v/>
      </c>
    </row>
    <row r="740" spans="1:4" x14ac:dyDescent="0.2">
      <c r="A740" t="str">
        <f>IF('ENC to Device Cables'!F819&lt;&gt;"",'ENC to Device Cables'!F819,"")</f>
        <v/>
      </c>
      <c r="B740" s="2" t="str">
        <f>IF(A740&lt;&gt;"",'ENC to Device Cables'!G819,"")</f>
        <v/>
      </c>
      <c r="C740" t="str">
        <f>IF(A740&lt;&gt;"",'ENC to Device Cables'!H819,"")</f>
        <v/>
      </c>
      <c r="D740" s="1" t="str">
        <f>IF(A740&lt;&gt;"",'ENC to Device Cables'!I819,"")</f>
        <v/>
      </c>
    </row>
    <row r="741" spans="1:4" x14ac:dyDescent="0.2">
      <c r="A741" t="str">
        <f>IF('ENC to Device Cables'!F820&lt;&gt;"",'ENC to Device Cables'!F820,"")</f>
        <v/>
      </c>
      <c r="B741" s="2" t="str">
        <f>IF(A741&lt;&gt;"",'ENC to Device Cables'!G820,"")</f>
        <v/>
      </c>
      <c r="C741" t="str">
        <f>IF(A741&lt;&gt;"",'ENC to Device Cables'!H820,"")</f>
        <v/>
      </c>
      <c r="D741" s="1" t="str">
        <f>IF(A741&lt;&gt;"",'ENC to Device Cables'!I820,"")</f>
        <v/>
      </c>
    </row>
    <row r="742" spans="1:4" x14ac:dyDescent="0.2">
      <c r="A742" t="str">
        <f>IF('ENC to Device Cables'!F821&lt;&gt;"",'ENC to Device Cables'!F821,"")</f>
        <v/>
      </c>
      <c r="B742" s="2" t="str">
        <f>IF(A742&lt;&gt;"",'ENC to Device Cables'!G821,"")</f>
        <v/>
      </c>
      <c r="C742" t="str">
        <f>IF(A742&lt;&gt;"",'ENC to Device Cables'!H821,"")</f>
        <v/>
      </c>
      <c r="D742" s="1" t="str">
        <f>IF(A742&lt;&gt;"",'ENC to Device Cables'!I821,"")</f>
        <v/>
      </c>
    </row>
    <row r="743" spans="1:4" x14ac:dyDescent="0.2">
      <c r="A743" t="str">
        <f>IF('ENC to Device Cables'!F822&lt;&gt;"",'ENC to Device Cables'!F822,"")</f>
        <v/>
      </c>
      <c r="B743" s="2" t="str">
        <f>IF(A743&lt;&gt;"",'ENC to Device Cables'!G822,"")</f>
        <v/>
      </c>
      <c r="C743" t="str">
        <f>IF(A743&lt;&gt;"",'ENC to Device Cables'!H822,"")</f>
        <v/>
      </c>
      <c r="D743" s="1" t="str">
        <f>IF(A743&lt;&gt;"",'ENC to Device Cables'!I822,"")</f>
        <v/>
      </c>
    </row>
    <row r="744" spans="1:4" x14ac:dyDescent="0.2">
      <c r="A744" t="str">
        <f>IF('ENC to Device Cables'!F823&lt;&gt;"",'ENC to Device Cables'!F823,"")</f>
        <v/>
      </c>
      <c r="B744" s="2" t="str">
        <f>IF(A744&lt;&gt;"",'ENC to Device Cables'!G823,"")</f>
        <v/>
      </c>
      <c r="C744" t="str">
        <f>IF(A744&lt;&gt;"",'ENC to Device Cables'!H823,"")</f>
        <v/>
      </c>
      <c r="D744" s="1" t="str">
        <f>IF(A744&lt;&gt;"",'ENC to Device Cables'!I823,"")</f>
        <v/>
      </c>
    </row>
    <row r="745" spans="1:4" x14ac:dyDescent="0.2">
      <c r="A745" t="str">
        <f>IF('ENC to Device Cables'!F824&lt;&gt;"",'ENC to Device Cables'!F824,"")</f>
        <v/>
      </c>
      <c r="B745" s="2" t="str">
        <f>IF(A745&lt;&gt;"",'ENC to Device Cables'!G824,"")</f>
        <v/>
      </c>
      <c r="C745" t="str">
        <f>IF(A745&lt;&gt;"",'ENC to Device Cables'!H824,"")</f>
        <v/>
      </c>
      <c r="D745" s="1" t="str">
        <f>IF(A745&lt;&gt;"",'ENC to Device Cables'!I824,"")</f>
        <v/>
      </c>
    </row>
    <row r="746" spans="1:4" x14ac:dyDescent="0.2">
      <c r="A746" t="str">
        <f>IF('ENC to Device Cables'!F825&lt;&gt;"",'ENC to Device Cables'!F825,"")</f>
        <v/>
      </c>
      <c r="B746" s="2" t="str">
        <f>IF(A746&lt;&gt;"",'ENC to Device Cables'!G825,"")</f>
        <v/>
      </c>
      <c r="C746" t="str">
        <f>IF(A746&lt;&gt;"",'ENC to Device Cables'!H825,"")</f>
        <v/>
      </c>
      <c r="D746" s="1" t="str">
        <f>IF(A746&lt;&gt;"",'ENC to Device Cables'!I825,"")</f>
        <v/>
      </c>
    </row>
    <row r="747" spans="1:4" x14ac:dyDescent="0.2">
      <c r="A747" t="str">
        <f>IF('ENC to Device Cables'!F826&lt;&gt;"",'ENC to Device Cables'!F826,"")</f>
        <v/>
      </c>
      <c r="B747" s="2" t="str">
        <f>IF(A747&lt;&gt;"",'ENC to Device Cables'!G826,"")</f>
        <v/>
      </c>
      <c r="C747" t="str">
        <f>IF(A747&lt;&gt;"",'ENC to Device Cables'!H826,"")</f>
        <v/>
      </c>
      <c r="D747" s="1" t="str">
        <f>IF(A747&lt;&gt;"",'ENC to Device Cables'!I826,"")</f>
        <v/>
      </c>
    </row>
    <row r="748" spans="1:4" x14ac:dyDescent="0.2">
      <c r="A748" t="str">
        <f>IF('ENC to Device Cables'!F827&lt;&gt;"",'ENC to Device Cables'!F827,"")</f>
        <v/>
      </c>
      <c r="B748" s="2" t="str">
        <f>IF(A748&lt;&gt;"",'ENC to Device Cables'!G827,"")</f>
        <v/>
      </c>
      <c r="C748" t="str">
        <f>IF(A748&lt;&gt;"",'ENC to Device Cables'!H827,"")</f>
        <v/>
      </c>
      <c r="D748" s="1" t="str">
        <f>IF(A748&lt;&gt;"",'ENC to Device Cables'!I827,"")</f>
        <v/>
      </c>
    </row>
    <row r="749" spans="1:4" x14ac:dyDescent="0.2">
      <c r="A749" t="str">
        <f>IF('ENC to Device Cables'!F828&lt;&gt;"",'ENC to Device Cables'!F828,"")</f>
        <v/>
      </c>
      <c r="B749" s="2" t="str">
        <f>IF(A749&lt;&gt;"",'ENC to Device Cables'!G828,"")</f>
        <v/>
      </c>
      <c r="C749" t="str">
        <f>IF(A749&lt;&gt;"",'ENC to Device Cables'!H828,"")</f>
        <v/>
      </c>
      <c r="D749" s="1" t="str">
        <f>IF(A749&lt;&gt;"",'ENC to Device Cables'!I828,"")</f>
        <v/>
      </c>
    </row>
    <row r="750" spans="1:4" x14ac:dyDescent="0.2">
      <c r="A750" t="str">
        <f>IF('ENC to Device Cables'!F829&lt;&gt;"",'ENC to Device Cables'!F829,"")</f>
        <v/>
      </c>
      <c r="B750" s="2" t="str">
        <f>IF(A750&lt;&gt;"",'ENC to Device Cables'!G829,"")</f>
        <v/>
      </c>
      <c r="C750" t="str">
        <f>IF(A750&lt;&gt;"",'ENC to Device Cables'!H829,"")</f>
        <v/>
      </c>
      <c r="D750" s="1" t="str">
        <f>IF(A750&lt;&gt;"",'ENC to Device Cables'!I829,"")</f>
        <v/>
      </c>
    </row>
    <row r="751" spans="1:4" x14ac:dyDescent="0.2">
      <c r="A751" t="str">
        <f>IF('ENC to Device Cables'!F830&lt;&gt;"",'ENC to Device Cables'!F830,"")</f>
        <v/>
      </c>
      <c r="B751" s="2" t="str">
        <f>IF(A751&lt;&gt;"",'ENC to Device Cables'!G830,"")</f>
        <v/>
      </c>
      <c r="C751" t="str">
        <f>IF(A751&lt;&gt;"",'ENC to Device Cables'!H830,"")</f>
        <v/>
      </c>
      <c r="D751" s="1" t="str">
        <f>IF(A751&lt;&gt;"",'ENC to Device Cables'!I830,"")</f>
        <v/>
      </c>
    </row>
    <row r="752" spans="1:4" x14ac:dyDescent="0.2">
      <c r="A752" t="str">
        <f>IF('ENC to Device Cables'!F831&lt;&gt;"",'ENC to Device Cables'!F831,"")</f>
        <v/>
      </c>
      <c r="B752" s="2" t="str">
        <f>IF(A752&lt;&gt;"",'ENC to Device Cables'!G831,"")</f>
        <v/>
      </c>
      <c r="C752" t="str">
        <f>IF(A752&lt;&gt;"",'ENC to Device Cables'!H831,"")</f>
        <v/>
      </c>
      <c r="D752" s="1" t="str">
        <f>IF(A752&lt;&gt;"",'ENC to Device Cables'!I831,"")</f>
        <v/>
      </c>
    </row>
    <row r="753" spans="1:4" x14ac:dyDescent="0.2">
      <c r="A753" t="str">
        <f>IF('ENC to Device Cables'!F832&lt;&gt;"",'ENC to Device Cables'!F832,"")</f>
        <v/>
      </c>
      <c r="B753" s="2" t="str">
        <f>IF(A753&lt;&gt;"",'ENC to Device Cables'!G832,"")</f>
        <v/>
      </c>
      <c r="C753" t="str">
        <f>IF(A753&lt;&gt;"",'ENC to Device Cables'!H832,"")</f>
        <v/>
      </c>
      <c r="D753" s="1" t="str">
        <f>IF(A753&lt;&gt;"",'ENC to Device Cables'!I832,"")</f>
        <v/>
      </c>
    </row>
    <row r="754" spans="1:4" x14ac:dyDescent="0.2">
      <c r="A754" t="str">
        <f>IF('ENC to Device Cables'!F833&lt;&gt;"",'ENC to Device Cables'!F833,"")</f>
        <v/>
      </c>
      <c r="B754" s="2" t="str">
        <f>IF(A754&lt;&gt;"",'ENC to Device Cables'!G833,"")</f>
        <v/>
      </c>
      <c r="C754" t="str">
        <f>IF(A754&lt;&gt;"",'ENC to Device Cables'!H833,"")</f>
        <v/>
      </c>
      <c r="D754" s="1" t="str">
        <f>IF(A754&lt;&gt;"",'ENC to Device Cables'!I833,"")</f>
        <v/>
      </c>
    </row>
    <row r="755" spans="1:4" x14ac:dyDescent="0.2">
      <c r="A755" t="str">
        <f>IF('ENC to Device Cables'!F834&lt;&gt;"",'ENC to Device Cables'!F834,"")</f>
        <v/>
      </c>
      <c r="B755" s="2" t="str">
        <f>IF(A755&lt;&gt;"",'ENC to Device Cables'!G834,"")</f>
        <v/>
      </c>
      <c r="C755" t="str">
        <f>IF(A755&lt;&gt;"",'ENC to Device Cables'!H834,"")</f>
        <v/>
      </c>
      <c r="D755" s="1" t="str">
        <f>IF(A755&lt;&gt;"",'ENC to Device Cables'!I834,"")</f>
        <v/>
      </c>
    </row>
    <row r="756" spans="1:4" x14ac:dyDescent="0.2">
      <c r="A756" t="str">
        <f>IF('ENC to Device Cables'!F835&lt;&gt;"",'ENC to Device Cables'!F835,"")</f>
        <v/>
      </c>
      <c r="B756" s="2" t="str">
        <f>IF(A756&lt;&gt;"",'ENC to Device Cables'!G835,"")</f>
        <v/>
      </c>
      <c r="C756" t="str">
        <f>IF(A756&lt;&gt;"",'ENC to Device Cables'!H835,"")</f>
        <v/>
      </c>
      <c r="D756" s="1" t="str">
        <f>IF(A756&lt;&gt;"",'ENC to Device Cables'!I835,"")</f>
        <v/>
      </c>
    </row>
    <row r="757" spans="1:4" x14ac:dyDescent="0.2">
      <c r="A757" t="str">
        <f>IF('ENC to Device Cables'!F836&lt;&gt;"",'ENC to Device Cables'!F836,"")</f>
        <v/>
      </c>
      <c r="B757" s="2" t="str">
        <f>IF(A757&lt;&gt;"",'ENC to Device Cables'!G836,"")</f>
        <v/>
      </c>
      <c r="C757" t="str">
        <f>IF(A757&lt;&gt;"",'ENC to Device Cables'!H836,"")</f>
        <v/>
      </c>
      <c r="D757" s="1" t="str">
        <f>IF(A757&lt;&gt;"",'ENC to Device Cables'!I836,"")</f>
        <v/>
      </c>
    </row>
    <row r="758" spans="1:4" x14ac:dyDescent="0.2">
      <c r="A758" t="str">
        <f>IF('ENC to Device Cables'!F837&lt;&gt;"",'ENC to Device Cables'!F837,"")</f>
        <v/>
      </c>
      <c r="B758" s="2" t="str">
        <f>IF(A758&lt;&gt;"",'ENC to Device Cables'!G837,"")</f>
        <v/>
      </c>
      <c r="C758" t="str">
        <f>IF(A758&lt;&gt;"",'ENC to Device Cables'!H837,"")</f>
        <v/>
      </c>
      <c r="D758" s="1" t="str">
        <f>IF(A758&lt;&gt;"",'ENC to Device Cables'!I837,"")</f>
        <v/>
      </c>
    </row>
    <row r="759" spans="1:4" x14ac:dyDescent="0.2">
      <c r="A759" t="str">
        <f>IF('ENC to Device Cables'!F838&lt;&gt;"",'ENC to Device Cables'!F838,"")</f>
        <v/>
      </c>
      <c r="B759" s="2" t="str">
        <f>IF(A759&lt;&gt;"",'ENC to Device Cables'!G838,"")</f>
        <v/>
      </c>
      <c r="C759" t="str">
        <f>IF(A759&lt;&gt;"",'ENC to Device Cables'!H838,"")</f>
        <v/>
      </c>
      <c r="D759" s="1" t="str">
        <f>IF(A759&lt;&gt;"",'ENC to Device Cables'!I838,"")</f>
        <v/>
      </c>
    </row>
    <row r="760" spans="1:4" x14ac:dyDescent="0.2">
      <c r="A760" t="str">
        <f>IF('ENC to Device Cables'!F839&lt;&gt;"",'ENC to Device Cables'!F839,"")</f>
        <v/>
      </c>
      <c r="B760" s="2" t="str">
        <f>IF(A760&lt;&gt;"",'ENC to Device Cables'!G839,"")</f>
        <v/>
      </c>
      <c r="C760" t="str">
        <f>IF(A760&lt;&gt;"",'ENC to Device Cables'!H839,"")</f>
        <v/>
      </c>
      <c r="D760" s="1" t="str">
        <f>IF(A760&lt;&gt;"",'ENC to Device Cables'!I839,"")</f>
        <v/>
      </c>
    </row>
    <row r="761" spans="1:4" x14ac:dyDescent="0.2">
      <c r="A761" t="str">
        <f>IF('ENC to Device Cables'!F840&lt;&gt;"",'ENC to Device Cables'!F840,"")</f>
        <v/>
      </c>
      <c r="B761" s="2" t="str">
        <f>IF(A761&lt;&gt;"",'ENC to Device Cables'!G840,"")</f>
        <v/>
      </c>
      <c r="C761" t="str">
        <f>IF(A761&lt;&gt;"",'ENC to Device Cables'!H840,"")</f>
        <v/>
      </c>
      <c r="D761" s="1" t="str">
        <f>IF(A761&lt;&gt;"",'ENC to Device Cables'!I840,"")</f>
        <v/>
      </c>
    </row>
    <row r="762" spans="1:4" x14ac:dyDescent="0.2">
      <c r="A762" t="str">
        <f>IF('ENC to Device Cables'!F841&lt;&gt;"",'ENC to Device Cables'!F841,"")</f>
        <v/>
      </c>
      <c r="B762" s="2" t="str">
        <f>IF(A762&lt;&gt;"",'ENC to Device Cables'!G841,"")</f>
        <v/>
      </c>
      <c r="C762" t="str">
        <f>IF(A762&lt;&gt;"",'ENC to Device Cables'!H841,"")</f>
        <v/>
      </c>
      <c r="D762" s="1" t="str">
        <f>IF(A762&lt;&gt;"",'ENC to Device Cables'!I841,"")</f>
        <v/>
      </c>
    </row>
    <row r="763" spans="1:4" x14ac:dyDescent="0.2">
      <c r="A763" t="str">
        <f>IF('ENC to Device Cables'!F842&lt;&gt;"",'ENC to Device Cables'!F842,"")</f>
        <v/>
      </c>
      <c r="B763" s="2" t="str">
        <f>IF(A763&lt;&gt;"",'ENC to Device Cables'!G842,"")</f>
        <v/>
      </c>
      <c r="C763" t="str">
        <f>IF(A763&lt;&gt;"",'ENC to Device Cables'!H842,"")</f>
        <v/>
      </c>
      <c r="D763" s="1" t="str">
        <f>IF(A763&lt;&gt;"",'ENC to Device Cables'!I842,"")</f>
        <v/>
      </c>
    </row>
    <row r="764" spans="1:4" x14ac:dyDescent="0.2">
      <c r="A764" t="str">
        <f>IF('ENC to Device Cables'!F843&lt;&gt;"",'ENC to Device Cables'!F843,"")</f>
        <v/>
      </c>
      <c r="B764" s="2" t="str">
        <f>IF(A764&lt;&gt;"",'ENC to Device Cables'!G843,"")</f>
        <v/>
      </c>
      <c r="C764" t="str">
        <f>IF(A764&lt;&gt;"",'ENC to Device Cables'!H843,"")</f>
        <v/>
      </c>
      <c r="D764" s="1" t="str">
        <f>IF(A764&lt;&gt;"",'ENC to Device Cables'!I843,"")</f>
        <v/>
      </c>
    </row>
    <row r="765" spans="1:4" x14ac:dyDescent="0.2">
      <c r="A765" t="str">
        <f>IF('ENC to Device Cables'!F844&lt;&gt;"",'ENC to Device Cables'!F844,"")</f>
        <v/>
      </c>
      <c r="B765" s="2" t="str">
        <f>IF(A765&lt;&gt;"",'ENC to Device Cables'!G844,"")</f>
        <v/>
      </c>
      <c r="C765" t="str">
        <f>IF(A765&lt;&gt;"",'ENC to Device Cables'!H844,"")</f>
        <v/>
      </c>
      <c r="D765" s="1" t="str">
        <f>IF(A765&lt;&gt;"",'ENC to Device Cables'!I844,"")</f>
        <v/>
      </c>
    </row>
    <row r="766" spans="1:4" x14ac:dyDescent="0.2">
      <c r="A766" t="str">
        <f>IF('ENC to Device Cables'!F845&lt;&gt;"",'ENC to Device Cables'!F845,"")</f>
        <v/>
      </c>
      <c r="B766" s="2" t="str">
        <f>IF(A766&lt;&gt;"",'ENC to Device Cables'!G845,"")</f>
        <v/>
      </c>
      <c r="C766" t="str">
        <f>IF(A766&lt;&gt;"",'ENC to Device Cables'!H845,"")</f>
        <v/>
      </c>
      <c r="D766" s="1" t="str">
        <f>IF(A766&lt;&gt;"",'ENC to Device Cables'!I845,"")</f>
        <v/>
      </c>
    </row>
    <row r="767" spans="1:4" x14ac:dyDescent="0.2">
      <c r="A767" t="str">
        <f>IF('ENC to Device Cables'!F846&lt;&gt;"",'ENC to Device Cables'!F846,"")</f>
        <v/>
      </c>
      <c r="B767" s="2" t="str">
        <f>IF(A767&lt;&gt;"",'ENC to Device Cables'!G846,"")</f>
        <v/>
      </c>
      <c r="C767" t="str">
        <f>IF(A767&lt;&gt;"",'ENC to Device Cables'!H846,"")</f>
        <v/>
      </c>
      <c r="D767" s="1" t="str">
        <f>IF(A767&lt;&gt;"",'ENC to Device Cables'!I846,"")</f>
        <v/>
      </c>
    </row>
    <row r="768" spans="1:4" x14ac:dyDescent="0.2">
      <c r="A768" t="str">
        <f>IF('ENC to Device Cables'!F847&lt;&gt;"",'ENC to Device Cables'!F847,"")</f>
        <v/>
      </c>
      <c r="B768" s="2" t="str">
        <f>IF(A768&lt;&gt;"",'ENC to Device Cables'!G847,"")</f>
        <v/>
      </c>
      <c r="C768" t="str">
        <f>IF(A768&lt;&gt;"",'ENC to Device Cables'!H847,"")</f>
        <v/>
      </c>
      <c r="D768" s="1" t="str">
        <f>IF(A768&lt;&gt;"",'ENC to Device Cables'!I847,"")</f>
        <v/>
      </c>
    </row>
    <row r="769" spans="1:4" x14ac:dyDescent="0.2">
      <c r="A769" t="str">
        <f>IF('ENC to Device Cables'!F848&lt;&gt;"",'ENC to Device Cables'!F848,"")</f>
        <v/>
      </c>
      <c r="B769" s="2" t="str">
        <f>IF(A769&lt;&gt;"",'ENC to Device Cables'!G848,"")</f>
        <v/>
      </c>
      <c r="C769" t="str">
        <f>IF(A769&lt;&gt;"",'ENC to Device Cables'!H848,"")</f>
        <v/>
      </c>
      <c r="D769" s="1" t="str">
        <f>IF(A769&lt;&gt;"",'ENC to Device Cables'!I848,"")</f>
        <v/>
      </c>
    </row>
    <row r="770" spans="1:4" x14ac:dyDescent="0.2">
      <c r="A770" t="str">
        <f>IF('ENC to Device Cables'!F849&lt;&gt;"",'ENC to Device Cables'!F849,"")</f>
        <v/>
      </c>
      <c r="B770" s="2" t="str">
        <f>IF(A770&lt;&gt;"",'ENC to Device Cables'!G849,"")</f>
        <v/>
      </c>
      <c r="C770" t="str">
        <f>IF(A770&lt;&gt;"",'ENC to Device Cables'!H849,"")</f>
        <v/>
      </c>
      <c r="D770" s="1" t="str">
        <f>IF(A770&lt;&gt;"",'ENC to Device Cables'!I849,"")</f>
        <v/>
      </c>
    </row>
    <row r="771" spans="1:4" x14ac:dyDescent="0.2">
      <c r="A771" t="str">
        <f>IF('ENC to Device Cables'!F850&lt;&gt;"",'ENC to Device Cables'!F850,"")</f>
        <v/>
      </c>
      <c r="B771" s="2" t="str">
        <f>IF(A771&lt;&gt;"",'ENC to Device Cables'!G850,"")</f>
        <v/>
      </c>
      <c r="C771" t="str">
        <f>IF(A771&lt;&gt;"",'ENC to Device Cables'!H850,"")</f>
        <v/>
      </c>
      <c r="D771" s="1" t="str">
        <f>IF(A771&lt;&gt;"",'ENC to Device Cables'!I850,"")</f>
        <v/>
      </c>
    </row>
    <row r="772" spans="1:4" x14ac:dyDescent="0.2">
      <c r="A772" t="str">
        <f>IF('ENC to Device Cables'!F851&lt;&gt;"",'ENC to Device Cables'!F851,"")</f>
        <v/>
      </c>
      <c r="B772" s="2" t="str">
        <f>IF(A772&lt;&gt;"",'ENC to Device Cables'!G851,"")</f>
        <v/>
      </c>
      <c r="C772" t="str">
        <f>IF(A772&lt;&gt;"",'ENC to Device Cables'!H851,"")</f>
        <v/>
      </c>
      <c r="D772" s="1" t="str">
        <f>IF(A772&lt;&gt;"",'ENC to Device Cables'!I851,"")</f>
        <v/>
      </c>
    </row>
    <row r="773" spans="1:4" x14ac:dyDescent="0.2">
      <c r="A773" t="str">
        <f>IF('ENC to Device Cables'!F852&lt;&gt;"",'ENC to Device Cables'!F852,"")</f>
        <v/>
      </c>
      <c r="B773" s="2" t="str">
        <f>IF(A773&lt;&gt;"",'ENC to Device Cables'!G852,"")</f>
        <v/>
      </c>
      <c r="C773" t="str">
        <f>IF(A773&lt;&gt;"",'ENC to Device Cables'!H852,"")</f>
        <v/>
      </c>
      <c r="D773" s="1" t="str">
        <f>IF(A773&lt;&gt;"",'ENC to Device Cables'!I852,"")</f>
        <v/>
      </c>
    </row>
    <row r="774" spans="1:4" x14ac:dyDescent="0.2">
      <c r="A774" t="str">
        <f>IF('ENC to Device Cables'!F853&lt;&gt;"",'ENC to Device Cables'!F853,"")</f>
        <v/>
      </c>
      <c r="B774" s="2" t="str">
        <f>IF(A774&lt;&gt;"",'ENC to Device Cables'!G853,"")</f>
        <v/>
      </c>
      <c r="C774" t="str">
        <f>IF(A774&lt;&gt;"",'ENC to Device Cables'!H853,"")</f>
        <v/>
      </c>
      <c r="D774" s="1" t="str">
        <f>IF(A774&lt;&gt;"",'ENC to Device Cables'!I853,"")</f>
        <v/>
      </c>
    </row>
    <row r="775" spans="1:4" x14ac:dyDescent="0.2">
      <c r="A775" t="str">
        <f>IF('ENC to Device Cables'!F854&lt;&gt;"",'ENC to Device Cables'!F854,"")</f>
        <v/>
      </c>
      <c r="B775" s="2" t="str">
        <f>IF(A775&lt;&gt;"",'ENC to Device Cables'!G854,"")</f>
        <v/>
      </c>
      <c r="C775" t="str">
        <f>IF(A775&lt;&gt;"",'ENC to Device Cables'!H854,"")</f>
        <v/>
      </c>
      <c r="D775" s="1" t="str">
        <f>IF(A775&lt;&gt;"",'ENC to Device Cables'!I854,"")</f>
        <v/>
      </c>
    </row>
    <row r="776" spans="1:4" x14ac:dyDescent="0.2">
      <c r="A776" t="str">
        <f>IF('ENC to Device Cables'!F855&lt;&gt;"",'ENC to Device Cables'!F855,"")</f>
        <v/>
      </c>
      <c r="B776" s="2" t="str">
        <f>IF(A776&lt;&gt;"",'ENC to Device Cables'!G855,"")</f>
        <v/>
      </c>
      <c r="C776" t="str">
        <f>IF(A776&lt;&gt;"",'ENC to Device Cables'!H855,"")</f>
        <v/>
      </c>
      <c r="D776" s="1" t="str">
        <f>IF(A776&lt;&gt;"",'ENC to Device Cables'!I855,"")</f>
        <v/>
      </c>
    </row>
    <row r="777" spans="1:4" x14ac:dyDescent="0.2">
      <c r="A777" t="str">
        <f>IF('ENC to Device Cables'!F856&lt;&gt;"",'ENC to Device Cables'!F856,"")</f>
        <v/>
      </c>
      <c r="B777" s="2" t="str">
        <f>IF(A777&lt;&gt;"",'ENC to Device Cables'!G856,"")</f>
        <v/>
      </c>
      <c r="C777" t="str">
        <f>IF(A777&lt;&gt;"",'ENC to Device Cables'!H856,"")</f>
        <v/>
      </c>
      <c r="D777" s="1" t="str">
        <f>IF(A777&lt;&gt;"",'ENC to Device Cables'!I856,"")</f>
        <v/>
      </c>
    </row>
  </sheetData>
  <pageMargins left="0.7" right="0.7" top="0.75" bottom="0.75" header="0.3" footer="0.3"/>
  <pageSetup orientation="portrait" r:id="rId1"/>
  <rowBreaks count="1" manualBreakCount="1">
    <brk id="49" max="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CAE3-7448-41BF-BD88-941598B9A0BC}">
  <sheetPr codeName="Sheet14">
    <tabColor rgb="FF0070C0"/>
  </sheetPr>
  <dimension ref="A1:B62"/>
  <sheetViews>
    <sheetView view="pageBreakPreview" zoomScale="60" zoomScaleNormal="115" workbookViewId="0">
      <selection activeCell="I18" sqref="I18"/>
    </sheetView>
  </sheetViews>
  <sheetFormatPr defaultRowHeight="12.75" x14ac:dyDescent="0.2"/>
  <cols>
    <col min="1" max="1" width="12.5703125" style="2" bestFit="1" customWidth="1"/>
    <col min="2" max="2" width="11.28515625" style="2" customWidth="1"/>
  </cols>
  <sheetData>
    <row r="1" spans="1:2" s="15" customFormat="1" x14ac:dyDescent="0.2">
      <c r="A1" s="15" t="s">
        <v>13</v>
      </c>
      <c r="B1" s="15" t="s">
        <v>16</v>
      </c>
    </row>
    <row r="2" spans="1:2" x14ac:dyDescent="0.2">
      <c r="A2" s="2" t="str" cm="1">
        <f t="array" ref="A2:A10">_xlfn.UNIQUE(_xlfn._xlws.FILTER('ENC to Device Cables'!W5:W152,'ENC to Device Cables'!W5:W152&lt;&gt;""))</f>
        <v>CB05-1</v>
      </c>
      <c r="B2" s="2">
        <f t="shared" ref="B2:B8" si="0">IF(A2&lt;&gt;"",5,"")</f>
        <v>5</v>
      </c>
    </row>
    <row r="3" spans="1:2" x14ac:dyDescent="0.2">
      <c r="A3" s="2" t="str">
        <v>CB06-1</v>
      </c>
      <c r="B3" s="2">
        <f t="shared" si="0"/>
        <v>5</v>
      </c>
    </row>
    <row r="4" spans="1:2" x14ac:dyDescent="0.2">
      <c r="A4" s="2" t="str">
        <v>CB-3</v>
      </c>
      <c r="B4" s="2">
        <f t="shared" si="0"/>
        <v>5</v>
      </c>
    </row>
    <row r="5" spans="1:2" x14ac:dyDescent="0.2">
      <c r="A5" s="2" t="str">
        <v>CB-4</v>
      </c>
      <c r="B5" s="2">
        <f t="shared" si="0"/>
        <v>5</v>
      </c>
    </row>
    <row r="6" spans="1:2" x14ac:dyDescent="0.2">
      <c r="A6" s="2" t="str">
        <v>CB-1</v>
      </c>
      <c r="B6" s="2">
        <f t="shared" si="0"/>
        <v>5</v>
      </c>
    </row>
    <row r="7" spans="1:2" x14ac:dyDescent="0.2">
      <c r="A7" s="2" t="str">
        <v>CB-2</v>
      </c>
      <c r="B7" s="2">
        <f t="shared" si="0"/>
        <v>5</v>
      </c>
    </row>
    <row r="8" spans="1:2" x14ac:dyDescent="0.2">
      <c r="A8" s="2" t="str">
        <v>RM-1</v>
      </c>
      <c r="B8" s="2">
        <f t="shared" si="0"/>
        <v>5</v>
      </c>
    </row>
    <row r="9" spans="1:2" x14ac:dyDescent="0.2">
      <c r="A9" t="str">
        <v>RM-2</v>
      </c>
      <c r="B9" s="2">
        <f>IF(A9&lt;&gt;"",5,"")</f>
        <v>5</v>
      </c>
    </row>
    <row r="10" spans="1:2" x14ac:dyDescent="0.2">
      <c r="A10" t="str">
        <v>PD-2</v>
      </c>
      <c r="B10" s="2">
        <f t="shared" ref="B10:B36" si="1">IF(A10&lt;&gt;"",5,"")</f>
        <v>5</v>
      </c>
    </row>
    <row r="11" spans="1:2" x14ac:dyDescent="0.2">
      <c r="A11"/>
      <c r="B11" s="2" t="str">
        <f t="shared" si="1"/>
        <v/>
      </c>
    </row>
    <row r="12" spans="1:2" x14ac:dyDescent="0.2">
      <c r="A12"/>
      <c r="B12" s="2" t="str">
        <f t="shared" si="1"/>
        <v/>
      </c>
    </row>
    <row r="13" spans="1:2" x14ac:dyDescent="0.2">
      <c r="A13"/>
      <c r="B13" s="2" t="str">
        <f t="shared" si="1"/>
        <v/>
      </c>
    </row>
    <row r="14" spans="1:2" x14ac:dyDescent="0.2">
      <c r="A14"/>
      <c r="B14" s="2" t="str">
        <f t="shared" si="1"/>
        <v/>
      </c>
    </row>
    <row r="15" spans="1:2" x14ac:dyDescent="0.2">
      <c r="A15"/>
      <c r="B15" s="2" t="str">
        <f t="shared" si="1"/>
        <v/>
      </c>
    </row>
    <row r="16" spans="1:2" x14ac:dyDescent="0.2">
      <c r="A16"/>
      <c r="B16" s="2" t="str">
        <f t="shared" si="1"/>
        <v/>
      </c>
    </row>
    <row r="17" spans="1:2" x14ac:dyDescent="0.2">
      <c r="A17"/>
      <c r="B17" s="2" t="str">
        <f t="shared" si="1"/>
        <v/>
      </c>
    </row>
    <row r="18" spans="1:2" x14ac:dyDescent="0.2">
      <c r="A18"/>
      <c r="B18" s="2" t="str">
        <f t="shared" si="1"/>
        <v/>
      </c>
    </row>
    <row r="19" spans="1:2" x14ac:dyDescent="0.2">
      <c r="A19"/>
      <c r="B19" s="2" t="str">
        <f t="shared" si="1"/>
        <v/>
      </c>
    </row>
    <row r="20" spans="1:2" x14ac:dyDescent="0.2">
      <c r="A20"/>
      <c r="B20" s="2" t="str">
        <f t="shared" si="1"/>
        <v/>
      </c>
    </row>
    <row r="21" spans="1:2" x14ac:dyDescent="0.2">
      <c r="A21"/>
      <c r="B21" s="2" t="str">
        <f t="shared" si="1"/>
        <v/>
      </c>
    </row>
    <row r="22" spans="1:2" x14ac:dyDescent="0.2">
      <c r="A22"/>
      <c r="B22" s="2" t="str">
        <f t="shared" si="1"/>
        <v/>
      </c>
    </row>
    <row r="23" spans="1:2" x14ac:dyDescent="0.2">
      <c r="A23"/>
      <c r="B23" s="2" t="str">
        <f t="shared" si="1"/>
        <v/>
      </c>
    </row>
    <row r="24" spans="1:2" x14ac:dyDescent="0.2">
      <c r="A24"/>
      <c r="B24" s="2" t="str">
        <f t="shared" si="1"/>
        <v/>
      </c>
    </row>
    <row r="25" spans="1:2" x14ac:dyDescent="0.2">
      <c r="A25"/>
      <c r="B25" s="2" t="str">
        <f t="shared" si="1"/>
        <v/>
      </c>
    </row>
    <row r="26" spans="1:2" x14ac:dyDescent="0.2">
      <c r="A26"/>
      <c r="B26" s="2" t="str">
        <f t="shared" si="1"/>
        <v/>
      </c>
    </row>
    <row r="27" spans="1:2" x14ac:dyDescent="0.2">
      <c r="A27"/>
      <c r="B27" s="2" t="str">
        <f t="shared" si="1"/>
        <v/>
      </c>
    </row>
    <row r="28" spans="1:2" x14ac:dyDescent="0.2">
      <c r="A28"/>
      <c r="B28" s="2" t="str">
        <f t="shared" si="1"/>
        <v/>
      </c>
    </row>
    <row r="29" spans="1:2" x14ac:dyDescent="0.2">
      <c r="A29"/>
      <c r="B29" s="2" t="str">
        <f t="shared" si="1"/>
        <v/>
      </c>
    </row>
    <row r="30" spans="1:2" x14ac:dyDescent="0.2">
      <c r="A30"/>
      <c r="B30" s="2" t="str">
        <f t="shared" si="1"/>
        <v/>
      </c>
    </row>
    <row r="31" spans="1:2" x14ac:dyDescent="0.2">
      <c r="A31"/>
      <c r="B31" s="2" t="str">
        <f t="shared" si="1"/>
        <v/>
      </c>
    </row>
    <row r="32" spans="1:2" x14ac:dyDescent="0.2">
      <c r="A32"/>
      <c r="B32" s="2" t="str">
        <f t="shared" si="1"/>
        <v/>
      </c>
    </row>
    <row r="33" spans="1:2" x14ac:dyDescent="0.2">
      <c r="A33"/>
      <c r="B33" s="2" t="str">
        <f t="shared" si="1"/>
        <v/>
      </c>
    </row>
    <row r="34" spans="1:2" x14ac:dyDescent="0.2">
      <c r="A34"/>
      <c r="B34" s="2" t="str">
        <f t="shared" si="1"/>
        <v/>
      </c>
    </row>
    <row r="35" spans="1:2" x14ac:dyDescent="0.2">
      <c r="A35"/>
      <c r="B35" s="2" t="str">
        <f t="shared" si="1"/>
        <v/>
      </c>
    </row>
    <row r="36" spans="1:2" x14ac:dyDescent="0.2">
      <c r="A36"/>
      <c r="B36" s="2" t="str">
        <f t="shared" si="1"/>
        <v/>
      </c>
    </row>
    <row r="37" spans="1:2" x14ac:dyDescent="0.2">
      <c r="A37"/>
    </row>
    <row r="38" spans="1:2" x14ac:dyDescent="0.2">
      <c r="A38"/>
    </row>
    <row r="39" spans="1:2" x14ac:dyDescent="0.2">
      <c r="A39"/>
    </row>
    <row r="40" spans="1:2" x14ac:dyDescent="0.2">
      <c r="A40"/>
    </row>
    <row r="41" spans="1:2" x14ac:dyDescent="0.2">
      <c r="A41"/>
    </row>
    <row r="42" spans="1:2" x14ac:dyDescent="0.2">
      <c r="A42"/>
    </row>
    <row r="43" spans="1:2" x14ac:dyDescent="0.2">
      <c r="A43"/>
    </row>
    <row r="44" spans="1:2" x14ac:dyDescent="0.2">
      <c r="A44"/>
    </row>
    <row r="45" spans="1:2" x14ac:dyDescent="0.2">
      <c r="A45"/>
    </row>
    <row r="46" spans="1:2" x14ac:dyDescent="0.2">
      <c r="A46"/>
    </row>
    <row r="47" spans="1:2" x14ac:dyDescent="0.2">
      <c r="A47"/>
    </row>
    <row r="48" spans="1:2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8887-5A1A-403B-8FAA-E6ABCA5535F7}">
  <sheetPr codeName="Sheet15">
    <tabColor rgb="FF7030A0"/>
    <pageSetUpPr fitToPage="1"/>
  </sheetPr>
  <dimension ref="A1:AB69"/>
  <sheetViews>
    <sheetView view="pageBreakPreview" topLeftCell="A3" zoomScale="85" zoomScaleNormal="70" zoomScaleSheetLayoutView="85" workbookViewId="0">
      <selection activeCell="M39" sqref="M39"/>
    </sheetView>
  </sheetViews>
  <sheetFormatPr defaultColWidth="9.140625" defaultRowHeight="12.75" x14ac:dyDescent="0.2"/>
  <cols>
    <col min="1" max="1" width="12.42578125" style="4" bestFit="1" customWidth="1"/>
    <col min="2" max="2" width="20.140625" style="4" customWidth="1"/>
    <col min="3" max="3" width="19" style="4" bestFit="1" customWidth="1"/>
    <col min="4" max="4" width="20.140625" style="4" bestFit="1" customWidth="1"/>
    <col min="5" max="5" width="16" style="4" customWidth="1"/>
    <col min="6" max="6" width="20.140625" style="4" bestFit="1" customWidth="1"/>
    <col min="7" max="7" width="9.140625" style="4"/>
    <col min="8" max="16" width="16.28515625" style="4" customWidth="1"/>
    <col min="17" max="16384" width="9.140625" style="4"/>
  </cols>
  <sheetData>
    <row r="1" spans="1:28" x14ac:dyDescent="0.2">
      <c r="H1" s="4" t="s">
        <v>88</v>
      </c>
      <c r="I1" s="4" t="str">
        <f t="shared" ref="I1:V6" si="0">MID(H1,1,1)&amp;MID(H1,2,2)+2</f>
        <v>D14</v>
      </c>
      <c r="J1" s="4" t="str">
        <f t="shared" si="0"/>
        <v>D16</v>
      </c>
      <c r="K1" s="4" t="str">
        <f t="shared" si="0"/>
        <v>D18</v>
      </c>
      <c r="L1" s="4" t="str">
        <f t="shared" si="0"/>
        <v>D20</v>
      </c>
      <c r="M1" s="4" t="str">
        <f t="shared" si="0"/>
        <v>D22</v>
      </c>
      <c r="N1" s="4" t="str">
        <f t="shared" si="0"/>
        <v>D24</v>
      </c>
      <c r="O1" s="4" t="str">
        <f t="shared" si="0"/>
        <v>D26</v>
      </c>
      <c r="P1" s="4" t="str">
        <f t="shared" si="0"/>
        <v>D28</v>
      </c>
      <c r="Q1" s="4" t="str">
        <f t="shared" si="0"/>
        <v>D30</v>
      </c>
      <c r="R1" s="4" t="str">
        <f t="shared" si="0"/>
        <v>D32</v>
      </c>
      <c r="S1" s="4" t="str">
        <f t="shared" si="0"/>
        <v>D34</v>
      </c>
      <c r="T1" s="4" t="str">
        <f t="shared" si="0"/>
        <v>D36</v>
      </c>
      <c r="U1" s="4" t="str">
        <f t="shared" si="0"/>
        <v>D38</v>
      </c>
      <c r="V1" s="4" t="str">
        <f t="shared" si="0"/>
        <v>D40</v>
      </c>
      <c r="W1" s="4" t="str">
        <f>MID(V1,1,1)&amp;MID(V1,2,2)+1</f>
        <v>D41</v>
      </c>
      <c r="X1" s="4" t="str">
        <f>MID(W1,1,1)&amp;MID(W1,2,2)+1</f>
        <v>D42</v>
      </c>
      <c r="Y1" s="4" t="str">
        <f>MID(X1,1,1)&amp;MID(X1,2,2)+1</f>
        <v>D43</v>
      </c>
      <c r="AB1" s="4" t="s">
        <v>123</v>
      </c>
    </row>
    <row r="2" spans="1:28" x14ac:dyDescent="0.2">
      <c r="H2" s="4" t="s">
        <v>89</v>
      </c>
      <c r="I2" s="4" t="str">
        <f t="shared" si="0"/>
        <v>E14</v>
      </c>
      <c r="J2" s="4" t="str">
        <f t="shared" si="0"/>
        <v>E16</v>
      </c>
      <c r="K2" s="4" t="str">
        <f t="shared" si="0"/>
        <v>E18</v>
      </c>
      <c r="L2" s="4" t="str">
        <f t="shared" si="0"/>
        <v>E20</v>
      </c>
      <c r="M2" s="4" t="str">
        <f t="shared" si="0"/>
        <v>E22</v>
      </c>
      <c r="N2" s="4" t="str">
        <f t="shared" si="0"/>
        <v>E24</v>
      </c>
      <c r="O2" s="4" t="str">
        <f t="shared" si="0"/>
        <v>E26</v>
      </c>
      <c r="P2" s="4" t="str">
        <f t="shared" si="0"/>
        <v>E28</v>
      </c>
      <c r="Q2" s="4" t="str">
        <f t="shared" si="0"/>
        <v>E30</v>
      </c>
      <c r="R2" s="4" t="str">
        <f t="shared" si="0"/>
        <v>E32</v>
      </c>
      <c r="S2" s="4" t="str">
        <f t="shared" si="0"/>
        <v>E34</v>
      </c>
      <c r="T2" s="4" t="str">
        <f t="shared" si="0"/>
        <v>E36</v>
      </c>
      <c r="U2" s="4" t="str">
        <f t="shared" si="0"/>
        <v>E38</v>
      </c>
      <c r="V2" s="4" t="str">
        <f t="shared" si="0"/>
        <v>E40</v>
      </c>
      <c r="W2" s="4" t="str">
        <f t="shared" ref="W2:Y6" si="1">MID(V2,1,1)&amp;MID(V2,2,2)+1</f>
        <v>E41</v>
      </c>
      <c r="X2" s="4" t="str">
        <f t="shared" si="1"/>
        <v>E42</v>
      </c>
      <c r="Y2" s="4" t="str">
        <f t="shared" si="1"/>
        <v>E43</v>
      </c>
      <c r="AB2" s="4" t="s">
        <v>122</v>
      </c>
    </row>
    <row r="3" spans="1:28" x14ac:dyDescent="0.2">
      <c r="H3" s="4" t="s">
        <v>90</v>
      </c>
      <c r="I3" s="4" t="str">
        <f t="shared" si="0"/>
        <v>F14</v>
      </c>
      <c r="J3" s="4" t="str">
        <f t="shared" si="0"/>
        <v>F16</v>
      </c>
      <c r="K3" s="4" t="str">
        <f t="shared" si="0"/>
        <v>F18</v>
      </c>
      <c r="L3" s="4" t="str">
        <f t="shared" si="0"/>
        <v>F20</v>
      </c>
      <c r="M3" s="4" t="str">
        <f t="shared" si="0"/>
        <v>F22</v>
      </c>
      <c r="N3" s="4" t="str">
        <f t="shared" si="0"/>
        <v>F24</v>
      </c>
      <c r="O3" s="4" t="str">
        <f t="shared" si="0"/>
        <v>F26</v>
      </c>
      <c r="P3" s="4" t="str">
        <f t="shared" si="0"/>
        <v>F28</v>
      </c>
      <c r="Q3" s="4" t="str">
        <f t="shared" si="0"/>
        <v>F30</v>
      </c>
      <c r="R3" s="4" t="str">
        <f t="shared" si="0"/>
        <v>F32</v>
      </c>
      <c r="S3" s="4" t="str">
        <f t="shared" si="0"/>
        <v>F34</v>
      </c>
      <c r="T3" s="4" t="str">
        <f t="shared" si="0"/>
        <v>F36</v>
      </c>
      <c r="U3" s="4" t="str">
        <f t="shared" si="0"/>
        <v>F38</v>
      </c>
      <c r="V3" s="4" t="str">
        <f t="shared" si="0"/>
        <v>F40</v>
      </c>
      <c r="W3" s="4" t="str">
        <f t="shared" si="1"/>
        <v>F41</v>
      </c>
      <c r="X3" s="4" t="str">
        <f t="shared" si="1"/>
        <v>F42</v>
      </c>
      <c r="Y3" s="4" t="str">
        <f t="shared" si="1"/>
        <v>F43</v>
      </c>
    </row>
    <row r="4" spans="1:28" x14ac:dyDescent="0.2">
      <c r="H4" s="4" t="s">
        <v>91</v>
      </c>
      <c r="I4" s="4" t="str">
        <f t="shared" si="0"/>
        <v>D15</v>
      </c>
      <c r="J4" s="4" t="str">
        <f t="shared" si="0"/>
        <v>D17</v>
      </c>
      <c r="K4" s="4" t="str">
        <f t="shared" si="0"/>
        <v>D19</v>
      </c>
      <c r="L4" s="4" t="str">
        <f t="shared" si="0"/>
        <v>D21</v>
      </c>
      <c r="M4" s="4" t="str">
        <f t="shared" si="0"/>
        <v>D23</v>
      </c>
      <c r="N4" s="4" t="str">
        <f t="shared" si="0"/>
        <v>D25</v>
      </c>
      <c r="O4" s="4" t="str">
        <f t="shared" si="0"/>
        <v>D27</v>
      </c>
      <c r="P4" s="4" t="str">
        <f t="shared" si="0"/>
        <v>D29</v>
      </c>
      <c r="Q4" s="4" t="str">
        <f t="shared" si="0"/>
        <v>D31</v>
      </c>
      <c r="R4" s="4" t="str">
        <f t="shared" si="0"/>
        <v>D33</v>
      </c>
      <c r="S4" s="4" t="str">
        <f t="shared" si="0"/>
        <v>D35</v>
      </c>
      <c r="T4" s="4" t="str">
        <f t="shared" si="0"/>
        <v>D37</v>
      </c>
      <c r="U4" s="4" t="str">
        <f t="shared" si="0"/>
        <v>D39</v>
      </c>
      <c r="V4" s="4" t="str">
        <f t="shared" si="0"/>
        <v>D41</v>
      </c>
      <c r="W4" s="4" t="str">
        <f t="shared" si="1"/>
        <v>D42</v>
      </c>
      <c r="X4" s="4" t="str">
        <f t="shared" si="1"/>
        <v>D43</v>
      </c>
      <c r="Y4" s="4" t="str">
        <f t="shared" si="1"/>
        <v>D44</v>
      </c>
    </row>
    <row r="5" spans="1:28" x14ac:dyDescent="0.2">
      <c r="H5" s="4" t="s">
        <v>92</v>
      </c>
      <c r="I5" s="4" t="str">
        <f t="shared" si="0"/>
        <v>E15</v>
      </c>
      <c r="J5" s="4" t="str">
        <f t="shared" si="0"/>
        <v>E17</v>
      </c>
      <c r="K5" s="4" t="str">
        <f t="shared" si="0"/>
        <v>E19</v>
      </c>
      <c r="L5" s="4" t="str">
        <f t="shared" si="0"/>
        <v>E21</v>
      </c>
      <c r="M5" s="4" t="str">
        <f t="shared" si="0"/>
        <v>E23</v>
      </c>
      <c r="N5" s="4" t="str">
        <f t="shared" si="0"/>
        <v>E25</v>
      </c>
      <c r="O5" s="4" t="str">
        <f t="shared" si="0"/>
        <v>E27</v>
      </c>
      <c r="P5" s="4" t="str">
        <f t="shared" si="0"/>
        <v>E29</v>
      </c>
      <c r="Q5" s="4" t="str">
        <f t="shared" si="0"/>
        <v>E31</v>
      </c>
      <c r="R5" s="4" t="str">
        <f t="shared" si="0"/>
        <v>E33</v>
      </c>
      <c r="S5" s="4" t="str">
        <f t="shared" si="0"/>
        <v>E35</v>
      </c>
      <c r="T5" s="4" t="str">
        <f t="shared" si="0"/>
        <v>E37</v>
      </c>
      <c r="U5" s="4" t="str">
        <f t="shared" si="0"/>
        <v>E39</v>
      </c>
      <c r="V5" s="4" t="str">
        <f t="shared" si="0"/>
        <v>E41</v>
      </c>
      <c r="W5" s="4" t="str">
        <f t="shared" si="1"/>
        <v>E42</v>
      </c>
      <c r="X5" s="4" t="str">
        <f t="shared" si="1"/>
        <v>E43</v>
      </c>
      <c r="Y5" s="4" t="str">
        <f t="shared" si="1"/>
        <v>E44</v>
      </c>
    </row>
    <row r="6" spans="1:28" ht="13.5" thickBot="1" x14ac:dyDescent="0.25">
      <c r="H6" s="4" t="s">
        <v>93</v>
      </c>
      <c r="I6" s="4" t="str">
        <f t="shared" si="0"/>
        <v>F15</v>
      </c>
      <c r="J6" s="4" t="str">
        <f t="shared" si="0"/>
        <v>F17</v>
      </c>
      <c r="K6" s="4" t="str">
        <f t="shared" si="0"/>
        <v>F19</v>
      </c>
      <c r="L6" s="4" t="str">
        <f t="shared" si="0"/>
        <v>F21</v>
      </c>
      <c r="M6" s="4" t="str">
        <f t="shared" si="0"/>
        <v>F23</v>
      </c>
      <c r="N6" s="4" t="str">
        <f t="shared" si="0"/>
        <v>F25</v>
      </c>
      <c r="O6" s="4" t="str">
        <f t="shared" si="0"/>
        <v>F27</v>
      </c>
      <c r="P6" s="4" t="str">
        <f t="shared" si="0"/>
        <v>F29</v>
      </c>
      <c r="Q6" s="4" t="str">
        <f t="shared" si="0"/>
        <v>F31</v>
      </c>
      <c r="R6" s="4" t="str">
        <f t="shared" si="0"/>
        <v>F33</v>
      </c>
      <c r="S6" s="4" t="str">
        <f t="shared" si="0"/>
        <v>F35</v>
      </c>
      <c r="T6" s="4" t="str">
        <f t="shared" si="0"/>
        <v>F37</v>
      </c>
      <c r="U6" s="4" t="str">
        <f t="shared" si="0"/>
        <v>F39</v>
      </c>
      <c r="V6" s="4" t="str">
        <f t="shared" si="0"/>
        <v>F41</v>
      </c>
      <c r="W6" s="4" t="str">
        <f t="shared" si="1"/>
        <v>F42</v>
      </c>
      <c r="X6" s="4" t="str">
        <f t="shared" si="1"/>
        <v>F43</v>
      </c>
      <c r="Y6" s="4" t="str">
        <f t="shared" si="1"/>
        <v>F44</v>
      </c>
    </row>
    <row r="7" spans="1:28" ht="23.25" x14ac:dyDescent="0.35">
      <c r="A7" s="20" t="s">
        <v>53</v>
      </c>
      <c r="B7" s="20" t="str">
        <f>'Device Cables'!B1</f>
        <v>9628-003</v>
      </c>
      <c r="C7" s="16"/>
      <c r="E7" s="133"/>
      <c r="H7" s="180" t="s">
        <v>76</v>
      </c>
      <c r="I7" s="181"/>
      <c r="J7" s="89" t="str">
        <f>B7</f>
        <v>9628-003</v>
      </c>
      <c r="K7" s="7"/>
      <c r="L7" s="7"/>
      <c r="M7" s="7"/>
      <c r="N7" s="7"/>
      <c r="O7" s="7"/>
      <c r="P7" s="90"/>
    </row>
    <row r="8" spans="1:28" ht="23.25" x14ac:dyDescent="0.35">
      <c r="A8" s="20" t="s">
        <v>54</v>
      </c>
      <c r="B8" s="20" t="str">
        <f>'Device Cables'!B2</f>
        <v>GM ORN - ZJ040 - NFP 3 FRONT PIERCE - T1XXF1_2</v>
      </c>
      <c r="C8" s="16"/>
      <c r="E8" s="133"/>
      <c r="H8" s="182" t="s">
        <v>75</v>
      </c>
      <c r="I8" s="183"/>
      <c r="J8" s="91" t="str">
        <f>B8</f>
        <v>GM ORN - ZJ040 - NFP 3 FRONT PIERCE - T1XXF1_2</v>
      </c>
      <c r="P8" s="92"/>
    </row>
    <row r="9" spans="1:28" x14ac:dyDescent="0.2">
      <c r="H9" s="14"/>
      <c r="P9" s="92"/>
    </row>
    <row r="10" spans="1:28" ht="19.5" thickBot="1" x14ac:dyDescent="0.25">
      <c r="A10" s="42" t="s">
        <v>61</v>
      </c>
      <c r="H10" s="184" t="str">
        <f>CONCATENATE(AB1," - ", M26, " ",AB2)</f>
        <v>PORT LAYOUT - RIGHT HAND SIDE OF ENCLOSURE</v>
      </c>
      <c r="I10" s="185"/>
      <c r="J10" s="185"/>
      <c r="K10" s="185"/>
      <c r="L10" s="185"/>
      <c r="M10" s="185"/>
      <c r="N10" s="185"/>
      <c r="O10" s="185"/>
      <c r="P10" s="186"/>
    </row>
    <row r="11" spans="1:28" ht="13.5" thickBot="1" x14ac:dyDescent="0.25">
      <c r="A11" s="21" t="s">
        <v>62</v>
      </c>
      <c r="B11" s="22" t="s">
        <v>63</v>
      </c>
      <c r="C11" s="22" t="s">
        <v>13</v>
      </c>
      <c r="D11" s="22" t="s">
        <v>64</v>
      </c>
      <c r="E11" s="22" t="s">
        <v>65</v>
      </c>
      <c r="F11" s="43" t="s">
        <v>66</v>
      </c>
      <c r="H11" s="14"/>
      <c r="P11" s="92"/>
    </row>
    <row r="12" spans="1:28" ht="20.25" customHeight="1" x14ac:dyDescent="0.2">
      <c r="A12" s="172" t="str">
        <f>B7</f>
        <v>9628-003</v>
      </c>
      <c r="B12" s="175" t="str">
        <f>B8</f>
        <v>GM ORN - ZJ040 - NFP 3 FRONT PIERCE - T1XXF1_2</v>
      </c>
      <c r="C12" s="168" t="s">
        <v>136</v>
      </c>
      <c r="D12" s="63" t="s">
        <v>148</v>
      </c>
      <c r="E12" s="63" t="str">
        <f>IF(C12&lt;&gt;"",C12,"")</f>
        <v>CB05-1</v>
      </c>
      <c r="F12" s="66" t="s">
        <v>1</v>
      </c>
      <c r="H12" s="93" t="str">
        <f t="shared" ref="H12:P14" ca="1" si="2">IF(INDIRECT(H1)=0,"",INDIRECT(H1))</f>
        <v>ZJ040_R05</v>
      </c>
      <c r="I12" s="86" t="str">
        <f t="shared" ca="1" si="2"/>
        <v>ZJ040_R06</v>
      </c>
      <c r="J12" s="86" t="str">
        <f t="shared" ca="1" si="2"/>
        <v>RH MET STAND</v>
      </c>
      <c r="K12" s="86" t="str">
        <f t="shared" ca="1" si="2"/>
        <v>LH INOS STAND</v>
      </c>
      <c r="L12" s="86" t="str">
        <f t="shared" ca="1" si="2"/>
        <v>RH INOS STAND</v>
      </c>
      <c r="M12" s="86" t="str">
        <f t="shared" ca="1" si="2"/>
        <v>SPARE #1</v>
      </c>
      <c r="N12" s="86" t="str">
        <f t="shared" ca="1" si="2"/>
        <v>SPARE #2</v>
      </c>
      <c r="O12" s="86" t="str">
        <f t="shared" ca="1" si="2"/>
        <v>SPARE #3</v>
      </c>
      <c r="P12" s="87" t="str">
        <f t="shared" ca="1" si="2"/>
        <v>SPARE #4</v>
      </c>
    </row>
    <row r="13" spans="1:28" ht="20.25" customHeight="1" thickBot="1" x14ac:dyDescent="0.25">
      <c r="A13" s="173"/>
      <c r="B13" s="176"/>
      <c r="C13" s="166"/>
      <c r="D13" s="47" t="str">
        <f>D12</f>
        <v>ZJ040_R05</v>
      </c>
      <c r="E13" s="45" t="str">
        <f>E12</f>
        <v>CB05-1</v>
      </c>
      <c r="F13" s="67" t="s">
        <v>28</v>
      </c>
      <c r="H13" s="88" t="str">
        <f t="shared" ca="1" si="2"/>
        <v>CB05-1</v>
      </c>
      <c r="I13" s="85" t="str">
        <f t="shared" ca="1" si="2"/>
        <v>CB06-1</v>
      </c>
      <c r="J13" s="85" t="str">
        <f t="shared" ca="1" si="2"/>
        <v>CB-2</v>
      </c>
      <c r="K13" s="85" t="str">
        <f t="shared" ca="1" si="2"/>
        <v>CB-3</v>
      </c>
      <c r="L13" s="85" t="str">
        <f t="shared" ca="1" si="2"/>
        <v>CB-4</v>
      </c>
      <c r="M13" s="85" t="str">
        <f t="shared" ca="1" si="2"/>
        <v/>
      </c>
      <c r="N13" s="85" t="str">
        <f t="shared" ca="1" si="2"/>
        <v/>
      </c>
      <c r="O13" s="85" t="str">
        <f t="shared" ca="1" si="2"/>
        <v/>
      </c>
      <c r="P13" s="94" t="str">
        <f t="shared" ca="1" si="2"/>
        <v/>
      </c>
    </row>
    <row r="14" spans="1:28" ht="20.25" customHeight="1" x14ac:dyDescent="0.2">
      <c r="A14" s="173"/>
      <c r="B14" s="176"/>
      <c r="C14" s="168" t="s">
        <v>137</v>
      </c>
      <c r="D14" s="63" t="s">
        <v>149</v>
      </c>
      <c r="E14" s="63" t="str">
        <f>IF(C14&lt;&gt;"",C14,"")</f>
        <v>CB06-1</v>
      </c>
      <c r="F14" s="66" t="s">
        <v>1</v>
      </c>
      <c r="H14" s="88" t="str">
        <f t="shared" ca="1" si="2"/>
        <v>POWER</v>
      </c>
      <c r="I14" s="85" t="str">
        <f t="shared" ca="1" si="2"/>
        <v>POWER</v>
      </c>
      <c r="J14" s="85" t="str">
        <f t="shared" ca="1" si="2"/>
        <v>POWER</v>
      </c>
      <c r="K14" s="85" t="str">
        <f t="shared" ca="1" si="2"/>
        <v>POWER</v>
      </c>
      <c r="L14" s="85" t="str">
        <f t="shared" ca="1" si="2"/>
        <v>POWER</v>
      </c>
      <c r="M14" s="85" t="str">
        <f t="shared" ca="1" si="2"/>
        <v>POWER</v>
      </c>
      <c r="N14" s="85" t="str">
        <f t="shared" ca="1" si="2"/>
        <v>POWER</v>
      </c>
      <c r="O14" s="85" t="str">
        <f t="shared" ca="1" si="2"/>
        <v>POWER</v>
      </c>
      <c r="P14" s="94" t="str">
        <f t="shared" ca="1" si="2"/>
        <v>POWER</v>
      </c>
    </row>
    <row r="15" spans="1:28" ht="20.25" customHeight="1" thickBot="1" x14ac:dyDescent="0.25">
      <c r="A15" s="173"/>
      <c r="B15" s="176"/>
      <c r="C15" s="166"/>
      <c r="D15" s="47" t="str">
        <f>D14</f>
        <v>ZJ040_R06</v>
      </c>
      <c r="E15" s="45" t="str">
        <f>E14</f>
        <v>CB06-1</v>
      </c>
      <c r="F15" s="67" t="s">
        <v>28</v>
      </c>
      <c r="H15" s="95"/>
      <c r="I15" s="46"/>
      <c r="J15" s="46"/>
      <c r="K15" s="46"/>
      <c r="L15" s="46"/>
      <c r="M15" s="46"/>
      <c r="N15" s="46"/>
      <c r="O15" s="46"/>
      <c r="P15" s="96"/>
    </row>
    <row r="16" spans="1:28" ht="20.25" customHeight="1" x14ac:dyDescent="0.2">
      <c r="A16" s="173"/>
      <c r="B16" s="176"/>
      <c r="C16" s="161" t="s">
        <v>138</v>
      </c>
      <c r="D16" s="63" t="s">
        <v>142</v>
      </c>
      <c r="E16" s="63" t="str">
        <f>IF(C16&lt;&gt;"",C16,"")</f>
        <v>CB-2</v>
      </c>
      <c r="F16" s="66" t="s">
        <v>1</v>
      </c>
      <c r="H16" s="97"/>
      <c r="I16" s="30"/>
      <c r="J16" s="30"/>
      <c r="K16" s="30"/>
      <c r="L16" s="30"/>
      <c r="M16" s="30"/>
      <c r="N16" s="30"/>
      <c r="O16" s="30"/>
      <c r="P16" s="98"/>
    </row>
    <row r="17" spans="1:16" ht="20.25" customHeight="1" thickBot="1" x14ac:dyDescent="0.25">
      <c r="A17" s="173"/>
      <c r="B17" s="176"/>
      <c r="C17" s="164"/>
      <c r="D17" s="47" t="str">
        <f>D16</f>
        <v>RH MET STAND</v>
      </c>
      <c r="E17" s="45" t="str">
        <f>E16</f>
        <v>CB-2</v>
      </c>
      <c r="F17" s="67" t="s">
        <v>28</v>
      </c>
      <c r="H17" s="14"/>
      <c r="P17" s="92"/>
    </row>
    <row r="18" spans="1:16" ht="20.25" customHeight="1" x14ac:dyDescent="0.2">
      <c r="A18" s="173"/>
      <c r="B18" s="176"/>
      <c r="C18" s="161" t="s">
        <v>139</v>
      </c>
      <c r="D18" s="64" t="s">
        <v>143</v>
      </c>
      <c r="E18" s="63" t="str">
        <f>IF(C18&lt;&gt;"",C18,"")</f>
        <v>CB-3</v>
      </c>
      <c r="F18" s="66" t="s">
        <v>1</v>
      </c>
      <c r="H18" s="93" t="str">
        <f t="shared" ref="H18:P20" ca="1" si="3">IF(INDIRECT(H4)=0,"",INDIRECT(H4))</f>
        <v>ZJ040_R05</v>
      </c>
      <c r="I18" s="86" t="str">
        <f t="shared" ca="1" si="3"/>
        <v>ZJ040_R06</v>
      </c>
      <c r="J18" s="86" t="str">
        <f t="shared" ca="1" si="3"/>
        <v>RH MET STAND</v>
      </c>
      <c r="K18" s="86" t="str">
        <f t="shared" ca="1" si="3"/>
        <v>LH INOS STAND</v>
      </c>
      <c r="L18" s="86" t="str">
        <f t="shared" ca="1" si="3"/>
        <v>RH INOS STAND</v>
      </c>
      <c r="M18" s="86" t="str">
        <f t="shared" ca="1" si="3"/>
        <v>SPARE #1</v>
      </c>
      <c r="N18" s="86" t="str">
        <f t="shared" ca="1" si="3"/>
        <v>SPARE #2</v>
      </c>
      <c r="O18" s="86" t="str">
        <f t="shared" ca="1" si="3"/>
        <v>SPARE #3</v>
      </c>
      <c r="P18" s="87" t="str">
        <f t="shared" ca="1" si="3"/>
        <v>SPARE #4</v>
      </c>
    </row>
    <row r="19" spans="1:16" ht="20.25" customHeight="1" thickBot="1" x14ac:dyDescent="0.25">
      <c r="A19" s="173"/>
      <c r="B19" s="176"/>
      <c r="C19" s="164"/>
      <c r="D19" s="47" t="str">
        <f>D18</f>
        <v>LH INOS STAND</v>
      </c>
      <c r="E19" s="45" t="str">
        <f>E18</f>
        <v>CB-3</v>
      </c>
      <c r="F19" s="67" t="s">
        <v>28</v>
      </c>
      <c r="H19" s="88" t="str">
        <f t="shared" ca="1" si="3"/>
        <v>CB05-1</v>
      </c>
      <c r="I19" s="85" t="str">
        <f t="shared" ca="1" si="3"/>
        <v>CB06-1</v>
      </c>
      <c r="J19" s="85" t="str">
        <f t="shared" ca="1" si="3"/>
        <v>CB-2</v>
      </c>
      <c r="K19" s="85" t="str">
        <f t="shared" ca="1" si="3"/>
        <v>CB-3</v>
      </c>
      <c r="L19" s="85" t="str">
        <f t="shared" ca="1" si="3"/>
        <v>CB-4</v>
      </c>
      <c r="M19" s="85" t="str">
        <f t="shared" ca="1" si="3"/>
        <v/>
      </c>
      <c r="N19" s="85" t="str">
        <f t="shared" ca="1" si="3"/>
        <v/>
      </c>
      <c r="O19" s="85" t="str">
        <f t="shared" ca="1" si="3"/>
        <v/>
      </c>
      <c r="P19" s="94" t="str">
        <f t="shared" ca="1" si="3"/>
        <v/>
      </c>
    </row>
    <row r="20" spans="1:16" ht="20.25" customHeight="1" x14ac:dyDescent="0.2">
      <c r="A20" s="173"/>
      <c r="B20" s="176"/>
      <c r="C20" s="161" t="s">
        <v>140</v>
      </c>
      <c r="D20" s="64" t="s">
        <v>144</v>
      </c>
      <c r="E20" s="63" t="str">
        <f>IF(C20&lt;&gt;"",C20,"")</f>
        <v>CB-4</v>
      </c>
      <c r="F20" s="66" t="s">
        <v>1</v>
      </c>
      <c r="H20" s="88" t="str">
        <f t="shared" ca="1" si="3"/>
        <v>ETHERNET</v>
      </c>
      <c r="I20" s="85" t="str">
        <f t="shared" ca="1" si="3"/>
        <v>ETHERNET</v>
      </c>
      <c r="J20" s="85" t="str">
        <f t="shared" ca="1" si="3"/>
        <v>ETHERNET</v>
      </c>
      <c r="K20" s="85" t="str">
        <f t="shared" ca="1" si="3"/>
        <v>ETHERNET</v>
      </c>
      <c r="L20" s="85" t="str">
        <f t="shared" ca="1" si="3"/>
        <v>ETHERNET</v>
      </c>
      <c r="M20" s="85" t="str">
        <f t="shared" ca="1" si="3"/>
        <v>ETHERNET</v>
      </c>
      <c r="N20" s="85" t="str">
        <f t="shared" ca="1" si="3"/>
        <v>ETHERNET</v>
      </c>
      <c r="O20" s="85" t="str">
        <f t="shared" ca="1" si="3"/>
        <v>ETHERNET</v>
      </c>
      <c r="P20" s="94" t="str">
        <f t="shared" ca="1" si="3"/>
        <v>ETHERNET</v>
      </c>
    </row>
    <row r="21" spans="1:16" ht="20.25" customHeight="1" thickBot="1" x14ac:dyDescent="0.25">
      <c r="A21" s="173"/>
      <c r="B21" s="176"/>
      <c r="C21" s="164"/>
      <c r="D21" s="47" t="str">
        <f>D20</f>
        <v>RH INOS STAND</v>
      </c>
      <c r="E21" s="47" t="str">
        <f>E20</f>
        <v>CB-4</v>
      </c>
      <c r="F21" s="68" t="s">
        <v>28</v>
      </c>
      <c r="H21" s="95"/>
      <c r="I21" s="46"/>
      <c r="J21" s="46"/>
      <c r="K21" s="46"/>
      <c r="L21" s="46"/>
      <c r="M21" s="46"/>
      <c r="N21" s="46"/>
      <c r="O21" s="46"/>
      <c r="P21" s="96"/>
    </row>
    <row r="22" spans="1:16" ht="20.25" customHeight="1" x14ac:dyDescent="0.2">
      <c r="A22" s="173"/>
      <c r="B22" s="176"/>
      <c r="C22" s="168"/>
      <c r="D22" s="63" t="s">
        <v>141</v>
      </c>
      <c r="E22" s="63" t="str">
        <f>IF(C22&lt;&gt;"",C22,"")</f>
        <v/>
      </c>
      <c r="F22" s="66" t="s">
        <v>1</v>
      </c>
      <c r="H22" s="97"/>
      <c r="I22" s="30"/>
      <c r="J22" s="30"/>
      <c r="K22" s="30"/>
      <c r="L22" s="30"/>
      <c r="M22" s="30"/>
      <c r="N22" s="30"/>
      <c r="O22" s="30"/>
      <c r="P22" s="98"/>
    </row>
    <row r="23" spans="1:16" ht="20.25" customHeight="1" thickBot="1" x14ac:dyDescent="0.25">
      <c r="A23" s="173"/>
      <c r="B23" s="176"/>
      <c r="C23" s="167"/>
      <c r="D23" s="47" t="str">
        <f>D22</f>
        <v>SPARE #1</v>
      </c>
      <c r="E23" s="47" t="str">
        <f>E22</f>
        <v/>
      </c>
      <c r="F23" s="68" t="s">
        <v>28</v>
      </c>
      <c r="H23" s="14"/>
      <c r="P23" s="92"/>
    </row>
    <row r="24" spans="1:16" ht="20.25" customHeight="1" x14ac:dyDescent="0.2">
      <c r="A24" s="173"/>
      <c r="B24" s="176"/>
      <c r="C24" s="168"/>
      <c r="D24" s="63" t="s">
        <v>152</v>
      </c>
      <c r="E24" s="64" t="str">
        <f>IF(C24&lt;&gt;"",C24,"")</f>
        <v/>
      </c>
      <c r="F24" s="69" t="s">
        <v>1</v>
      </c>
      <c r="H24" s="93" t="str">
        <f t="shared" ref="H24:L26" ca="1" si="4">IF(INDIRECT(Q1)=0,"",INDIRECT(Q1))</f>
        <v>R05 REF STAND</v>
      </c>
      <c r="I24" s="86" t="str">
        <f t="shared" ca="1" si="4"/>
        <v>R06 REF STAND</v>
      </c>
      <c r="J24" s="86" t="str">
        <f t="shared" ca="1" si="4"/>
        <v>RM SPARE #1</v>
      </c>
      <c r="K24" s="86" t="str">
        <f t="shared" ca="1" si="4"/>
        <v>RM SPARE #2</v>
      </c>
      <c r="L24" s="86" t="str">
        <f t="shared" ca="1" si="4"/>
        <v/>
      </c>
      <c r="P24" s="92"/>
    </row>
    <row r="25" spans="1:16" ht="20.25" customHeight="1" thickBot="1" x14ac:dyDescent="0.25">
      <c r="A25" s="173"/>
      <c r="B25" s="176"/>
      <c r="C25" s="167"/>
      <c r="D25" s="47" t="str">
        <f>D24</f>
        <v>SPARE #2</v>
      </c>
      <c r="E25" s="47" t="str">
        <f>E24</f>
        <v/>
      </c>
      <c r="F25" s="68" t="s">
        <v>28</v>
      </c>
      <c r="H25" s="88" t="str">
        <f t="shared" ca="1" si="4"/>
        <v>RM-1</v>
      </c>
      <c r="I25" s="85" t="str">
        <f t="shared" ca="1" si="4"/>
        <v>RM-2</v>
      </c>
      <c r="J25" s="85" t="str">
        <f t="shared" ca="1" si="4"/>
        <v/>
      </c>
      <c r="K25" s="85" t="str">
        <f t="shared" ca="1" si="4"/>
        <v/>
      </c>
      <c r="L25" s="85" t="str">
        <f t="shared" ca="1" si="4"/>
        <v/>
      </c>
      <c r="M25" s="187" t="s">
        <v>121</v>
      </c>
      <c r="N25" s="188"/>
      <c r="O25" s="135"/>
      <c r="P25" s="92"/>
    </row>
    <row r="26" spans="1:16" ht="20.25" customHeight="1" x14ac:dyDescent="0.2">
      <c r="A26" s="173"/>
      <c r="B26" s="176"/>
      <c r="C26" s="162"/>
      <c r="D26" s="63" t="s">
        <v>153</v>
      </c>
      <c r="E26" s="64" t="str">
        <f>IF(C26&lt;&gt;"",C26,"")</f>
        <v/>
      </c>
      <c r="F26" s="66" t="s">
        <v>1</v>
      </c>
      <c r="H26" s="88" t="str">
        <f t="shared" ca="1" si="4"/>
        <v>POWER</v>
      </c>
      <c r="I26" s="85" t="str">
        <f t="shared" ca="1" si="4"/>
        <v>POWER</v>
      </c>
      <c r="J26" s="85" t="str">
        <f t="shared" ca="1" si="4"/>
        <v>POWER</v>
      </c>
      <c r="K26" s="85" t="str">
        <f t="shared" ca="1" si="4"/>
        <v>POWER</v>
      </c>
      <c r="L26" s="85" t="str">
        <f t="shared" ca="1" si="4"/>
        <v/>
      </c>
      <c r="M26" s="189" t="s">
        <v>158</v>
      </c>
      <c r="N26" s="190"/>
      <c r="O26" s="134"/>
      <c r="P26" s="92"/>
    </row>
    <row r="27" spans="1:16" ht="20.25" customHeight="1" thickBot="1" x14ac:dyDescent="0.25">
      <c r="A27" s="173"/>
      <c r="B27" s="176"/>
      <c r="C27" s="166"/>
      <c r="D27" s="47" t="str">
        <f>D26</f>
        <v>SPARE #3</v>
      </c>
      <c r="E27" s="45" t="str">
        <f>E26</f>
        <v/>
      </c>
      <c r="F27" s="68" t="s">
        <v>28</v>
      </c>
      <c r="H27" s="95"/>
      <c r="I27" s="46"/>
      <c r="J27" s="46"/>
      <c r="K27" s="46"/>
      <c r="L27" s="46"/>
      <c r="M27" s="146" t="s">
        <v>122</v>
      </c>
      <c r="N27" s="135"/>
      <c r="O27" s="134"/>
      <c r="P27" s="92"/>
    </row>
    <row r="28" spans="1:16" ht="20.25" customHeight="1" x14ac:dyDescent="0.2">
      <c r="A28" s="173"/>
      <c r="B28" s="176"/>
      <c r="C28" s="168"/>
      <c r="D28" s="63" t="s">
        <v>154</v>
      </c>
      <c r="E28" s="63" t="str">
        <f>IF(C28&lt;&gt;"",C28,"")</f>
        <v/>
      </c>
      <c r="F28" s="66" t="s">
        <v>1</v>
      </c>
      <c r="H28" s="97"/>
      <c r="I28" s="30"/>
      <c r="J28" s="30"/>
      <c r="K28" s="30"/>
      <c r="L28" s="30"/>
      <c r="M28" s="143"/>
      <c r="N28" s="134"/>
      <c r="O28" s="134"/>
      <c r="P28" s="92"/>
    </row>
    <row r="29" spans="1:16" ht="20.25" customHeight="1" thickBot="1" x14ac:dyDescent="0.25">
      <c r="A29" s="173"/>
      <c r="B29" s="176"/>
      <c r="C29" s="178"/>
      <c r="D29" s="47" t="str">
        <f>D28</f>
        <v>SPARE #4</v>
      </c>
      <c r="E29" s="45" t="str">
        <f>E28</f>
        <v/>
      </c>
      <c r="F29" s="68" t="s">
        <v>28</v>
      </c>
      <c r="H29" s="14"/>
      <c r="P29" s="92"/>
    </row>
    <row r="30" spans="1:16" ht="20.25" customHeight="1" thickTop="1" x14ac:dyDescent="0.2">
      <c r="A30" s="173"/>
      <c r="B30" s="176"/>
      <c r="C30" s="179" t="s">
        <v>145</v>
      </c>
      <c r="D30" s="63" t="s">
        <v>150</v>
      </c>
      <c r="E30" s="63" t="str">
        <f>IF(C30&lt;&gt;"",C30,"")</f>
        <v>RM-1</v>
      </c>
      <c r="F30" s="69" t="s">
        <v>1</v>
      </c>
      <c r="H30" s="93" t="str">
        <f t="shared" ref="H30:K32" ca="1" si="5">IF(INDIRECT(V1)=0,"",INDIRECT(V1))</f>
        <v>EN1 - INOS</v>
      </c>
      <c r="I30" s="86" t="str">
        <f t="shared" ca="1" si="5"/>
        <v>EN2 - INOS</v>
      </c>
      <c r="J30" s="86" t="str">
        <f t="shared" ca="1" si="5"/>
        <v>EN3 - INOS</v>
      </c>
      <c r="K30" s="86" t="str">
        <f t="shared" ca="1" si="5"/>
        <v>EN4 - METRONOR</v>
      </c>
      <c r="L30" s="139" t="str">
        <f t="shared" ref="L30:L32" ca="1" si="6">IF(INDIRECT(U4)=0,"",INDIRECT(U4))</f>
        <v/>
      </c>
      <c r="M30" s="141"/>
      <c r="N30" s="141"/>
      <c r="O30" s="141"/>
      <c r="P30" s="142"/>
    </row>
    <row r="31" spans="1:16" ht="20.25" customHeight="1" thickBot="1" x14ac:dyDescent="0.25">
      <c r="A31" s="173"/>
      <c r="B31" s="176"/>
      <c r="C31" s="164"/>
      <c r="D31" s="64"/>
      <c r="E31" s="64"/>
      <c r="F31" s="67"/>
      <c r="H31" s="88" t="str">
        <f t="shared" ca="1" si="5"/>
        <v>ETHERNET SM</v>
      </c>
      <c r="I31" s="85" t="str">
        <f t="shared" ca="1" si="5"/>
        <v>ETHERNET IP</v>
      </c>
      <c r="J31" s="85" t="str">
        <f t="shared" ca="1" si="5"/>
        <v>INOS DATA</v>
      </c>
      <c r="K31" s="85" t="str">
        <f t="shared" ca="1" si="5"/>
        <v>ETHERNET SM</v>
      </c>
      <c r="L31" s="140" t="str">
        <f t="shared" ca="1" si="6"/>
        <v/>
      </c>
      <c r="M31" s="46"/>
      <c r="N31" s="46"/>
      <c r="O31" s="46"/>
      <c r="P31" s="96"/>
    </row>
    <row r="32" spans="1:16" ht="20.25" customHeight="1" x14ac:dyDescent="0.2">
      <c r="A32" s="173"/>
      <c r="B32" s="176"/>
      <c r="C32" s="161" t="s">
        <v>146</v>
      </c>
      <c r="D32" s="63" t="s">
        <v>151</v>
      </c>
      <c r="E32" s="63" t="str">
        <f>IF(C32&lt;&gt;"",C32,"")</f>
        <v>RM-2</v>
      </c>
      <c r="F32" s="69" t="s">
        <v>1</v>
      </c>
      <c r="H32" s="88" t="str">
        <f t="shared" ca="1" si="5"/>
        <v>TO CELL SWITCH</v>
      </c>
      <c r="I32" s="85" t="str">
        <f t="shared" ca="1" si="5"/>
        <v>TO CELL SWITCH</v>
      </c>
      <c r="J32" s="85" t="str">
        <f t="shared" ca="1" si="5"/>
        <v>PLANT NETWORK</v>
      </c>
      <c r="K32" s="85" t="str">
        <f t="shared" ca="1" si="5"/>
        <v>TO CELL SWITCH</v>
      </c>
      <c r="L32" s="140" t="str">
        <f t="shared" ca="1" si="6"/>
        <v/>
      </c>
      <c r="M32" s="46"/>
      <c r="N32" s="46"/>
      <c r="O32" s="46"/>
      <c r="P32" s="96"/>
    </row>
    <row r="33" spans="1:16" ht="20.25" customHeight="1" thickBot="1" x14ac:dyDescent="0.25">
      <c r="A33" s="173"/>
      <c r="B33" s="176"/>
      <c r="C33" s="164"/>
      <c r="D33" s="99"/>
      <c r="E33" s="99"/>
      <c r="F33" s="68"/>
      <c r="H33" s="95"/>
      <c r="I33" s="46"/>
      <c r="J33" s="46"/>
      <c r="K33" s="46"/>
      <c r="L33" s="46"/>
      <c r="M33" s="46"/>
      <c r="N33" s="46"/>
      <c r="O33" s="46"/>
      <c r="P33" s="96"/>
    </row>
    <row r="34" spans="1:16" ht="20.25" customHeight="1" x14ac:dyDescent="0.2">
      <c r="A34" s="173"/>
      <c r="B34" s="176"/>
      <c r="C34" s="161"/>
      <c r="D34" s="63" t="s">
        <v>157</v>
      </c>
      <c r="E34" s="63" t="str">
        <f>IF(C34&lt;&gt;"",C34,"")</f>
        <v/>
      </c>
      <c r="F34" s="69" t="s">
        <v>1</v>
      </c>
      <c r="H34" s="97"/>
      <c r="I34" s="30"/>
      <c r="J34" s="30"/>
      <c r="K34" s="30"/>
      <c r="L34" s="30"/>
      <c r="M34" s="30"/>
      <c r="N34" s="30"/>
      <c r="O34" s="30"/>
      <c r="P34" s="98"/>
    </row>
    <row r="35" spans="1:16" ht="20.25" customHeight="1" thickBot="1" x14ac:dyDescent="0.25">
      <c r="A35" s="173"/>
      <c r="B35" s="176"/>
      <c r="C35" s="164"/>
      <c r="D35" s="47" t="str">
        <f>IF(C34&lt;&gt;"",D34,"")</f>
        <v/>
      </c>
      <c r="E35" s="47" t="str">
        <f>E34</f>
        <v/>
      </c>
      <c r="F35" s="68"/>
      <c r="H35" s="14"/>
      <c r="P35" s="92"/>
    </row>
    <row r="36" spans="1:16" ht="20.25" customHeight="1" thickBot="1" x14ac:dyDescent="0.25">
      <c r="A36" s="173"/>
      <c r="B36" s="176"/>
      <c r="C36" s="161"/>
      <c r="D36" s="63" t="s">
        <v>159</v>
      </c>
      <c r="E36" s="63" t="str">
        <f>IF(C36&lt;&gt;"",C36,"")</f>
        <v/>
      </c>
      <c r="F36" s="69" t="s">
        <v>1</v>
      </c>
      <c r="H36" s="13"/>
      <c r="I36" s="9"/>
      <c r="J36" s="9"/>
      <c r="K36" s="10"/>
      <c r="L36" s="100"/>
      <c r="M36" s="100"/>
      <c r="N36" s="101"/>
      <c r="O36" s="144"/>
      <c r="P36" s="145"/>
    </row>
    <row r="37" spans="1:16" ht="20.25" customHeight="1" thickBot="1" x14ac:dyDescent="0.25">
      <c r="A37" s="173"/>
      <c r="B37" s="176"/>
      <c r="C37" s="164"/>
      <c r="D37" s="47" t="str">
        <f>IF(C36&lt;&gt;"",D36,"")</f>
        <v/>
      </c>
      <c r="E37" s="47" t="str">
        <f>E36</f>
        <v/>
      </c>
      <c r="F37" s="68"/>
      <c r="K37" s="8"/>
    </row>
    <row r="38" spans="1:16" ht="20.25" customHeight="1" x14ac:dyDescent="0.2">
      <c r="A38" s="173"/>
      <c r="B38" s="176"/>
      <c r="C38" s="161"/>
      <c r="D38" s="63"/>
      <c r="E38" s="44" t="str">
        <f>IF(C38&lt;&gt;"",C38,"")</f>
        <v/>
      </c>
      <c r="F38" s="66"/>
      <c r="K38" s="8"/>
    </row>
    <row r="39" spans="1:16" ht="20.25" customHeight="1" thickBot="1" x14ac:dyDescent="0.25">
      <c r="A39" s="173"/>
      <c r="B39" s="176"/>
      <c r="C39" s="164"/>
      <c r="D39" s="47" t="str">
        <f>IF(C38&lt;&gt;"",D38,"")</f>
        <v/>
      </c>
      <c r="E39" s="47" t="str">
        <f>E38</f>
        <v/>
      </c>
      <c r="F39" s="68"/>
      <c r="J39" s="102"/>
    </row>
    <row r="40" spans="1:16" ht="20.25" customHeight="1" x14ac:dyDescent="0.2">
      <c r="A40" s="173"/>
      <c r="B40" s="176"/>
      <c r="C40" s="53" t="s">
        <v>86</v>
      </c>
      <c r="D40" s="64" t="s">
        <v>82</v>
      </c>
      <c r="E40" s="64" t="s">
        <v>67</v>
      </c>
      <c r="F40" s="69" t="s">
        <v>68</v>
      </c>
      <c r="J40" s="102"/>
    </row>
    <row r="41" spans="1:16" ht="20.25" customHeight="1" x14ac:dyDescent="0.2">
      <c r="A41" s="173"/>
      <c r="B41" s="176"/>
      <c r="C41" s="53" t="s">
        <v>87</v>
      </c>
      <c r="D41" s="64" t="s">
        <v>83</v>
      </c>
      <c r="E41" s="64" t="s">
        <v>72</v>
      </c>
      <c r="F41" s="69" t="s">
        <v>68</v>
      </c>
      <c r="J41" s="102"/>
    </row>
    <row r="42" spans="1:16" ht="20.25" customHeight="1" x14ac:dyDescent="0.2">
      <c r="A42" s="173"/>
      <c r="B42" s="176"/>
      <c r="C42" s="53" t="s">
        <v>87</v>
      </c>
      <c r="D42" s="64" t="s">
        <v>84</v>
      </c>
      <c r="E42" s="64" t="s">
        <v>69</v>
      </c>
      <c r="F42" s="69" t="s">
        <v>70</v>
      </c>
      <c r="J42" s="103"/>
      <c r="K42" s="8"/>
    </row>
    <row r="43" spans="1:16" ht="20.25" customHeight="1" thickBot="1" x14ac:dyDescent="0.25">
      <c r="A43" s="174"/>
      <c r="B43" s="177"/>
      <c r="C43" s="54" t="s">
        <v>94</v>
      </c>
      <c r="D43" s="65" t="s">
        <v>85</v>
      </c>
      <c r="E43" s="65" t="s">
        <v>67</v>
      </c>
      <c r="F43" s="68" t="s">
        <v>68</v>
      </c>
      <c r="J43" s="103"/>
      <c r="K43" s="8"/>
    </row>
    <row r="44" spans="1:16" ht="20.25" customHeight="1" x14ac:dyDescent="0.2"/>
    <row r="45" spans="1:16" ht="20.25" customHeight="1" x14ac:dyDescent="0.2">
      <c r="D45" s="8"/>
    </row>
    <row r="46" spans="1:16" ht="20.25" customHeight="1" x14ac:dyDescent="0.2">
      <c r="D46" s="8"/>
    </row>
    <row r="47" spans="1:16" ht="20.25" customHeight="1" x14ac:dyDescent="0.2">
      <c r="D47" s="8"/>
    </row>
    <row r="48" spans="1:16" ht="20.25" customHeight="1" x14ac:dyDescent="0.2">
      <c r="D48" s="8"/>
    </row>
    <row r="49" spans="4:4" ht="20.25" customHeight="1" x14ac:dyDescent="0.2">
      <c r="D49" s="8"/>
    </row>
    <row r="50" spans="4:4" x14ac:dyDescent="0.2">
      <c r="D50" s="8"/>
    </row>
    <row r="51" spans="4:4" x14ac:dyDescent="0.2">
      <c r="D51" s="8"/>
    </row>
    <row r="52" spans="4:4" x14ac:dyDescent="0.2">
      <c r="D52" s="8"/>
    </row>
    <row r="53" spans="4:4" x14ac:dyDescent="0.2">
      <c r="D53" s="8"/>
    </row>
    <row r="54" spans="4:4" x14ac:dyDescent="0.2">
      <c r="D54" s="8"/>
    </row>
    <row r="55" spans="4:4" x14ac:dyDescent="0.2">
      <c r="D55" s="8"/>
    </row>
    <row r="56" spans="4:4" x14ac:dyDescent="0.2">
      <c r="D56" s="8"/>
    </row>
    <row r="57" spans="4:4" x14ac:dyDescent="0.2">
      <c r="D57" s="8"/>
    </row>
    <row r="58" spans="4:4" x14ac:dyDescent="0.2">
      <c r="D58" s="8"/>
    </row>
    <row r="59" spans="4:4" x14ac:dyDescent="0.2">
      <c r="D59" s="8"/>
    </row>
    <row r="60" spans="4:4" x14ac:dyDescent="0.2">
      <c r="D60" s="8"/>
    </row>
    <row r="61" spans="4:4" x14ac:dyDescent="0.2">
      <c r="D61" s="8"/>
    </row>
    <row r="62" spans="4:4" x14ac:dyDescent="0.2">
      <c r="D62" s="8"/>
    </row>
    <row r="63" spans="4:4" x14ac:dyDescent="0.2">
      <c r="D63" s="8"/>
    </row>
    <row r="64" spans="4:4" x14ac:dyDescent="0.2">
      <c r="D64" s="8"/>
    </row>
    <row r="65" spans="4:4" x14ac:dyDescent="0.2">
      <c r="D65" s="8"/>
    </row>
    <row r="66" spans="4:4" x14ac:dyDescent="0.2">
      <c r="D66" s="8"/>
    </row>
    <row r="67" spans="4:4" x14ac:dyDescent="0.2">
      <c r="D67" s="8"/>
    </row>
    <row r="68" spans="4:4" x14ac:dyDescent="0.2">
      <c r="D68" s="8"/>
    </row>
    <row r="69" spans="4:4" x14ac:dyDescent="0.2">
      <c r="D69" s="8"/>
    </row>
  </sheetData>
  <mergeCells count="21">
    <mergeCell ref="H7:I7"/>
    <mergeCell ref="H8:I8"/>
    <mergeCell ref="H10:P10"/>
    <mergeCell ref="M25:N25"/>
    <mergeCell ref="M26:N26"/>
    <mergeCell ref="A12:A43"/>
    <mergeCell ref="B12:B43"/>
    <mergeCell ref="C12:C13"/>
    <mergeCell ref="C14:C15"/>
    <mergeCell ref="C16:C17"/>
    <mergeCell ref="C18:C19"/>
    <mergeCell ref="C20:C21"/>
    <mergeCell ref="C34:C35"/>
    <mergeCell ref="C36:C37"/>
    <mergeCell ref="C38:C39"/>
    <mergeCell ref="C22:C23"/>
    <mergeCell ref="C24:C25"/>
    <mergeCell ref="C26:C27"/>
    <mergeCell ref="C28:C29"/>
    <mergeCell ref="C30:C31"/>
    <mergeCell ref="C32:C33"/>
  </mergeCells>
  <pageMargins left="0.7" right="0.7" top="0.75" bottom="0.75" header="0.3" footer="0.3"/>
  <pageSetup scale="62" orientation="landscape" r:id="rId1"/>
  <headerFooter>
    <oddHeader>&amp;C&amp;"-,Bold"&amp;18&amp;A</oddHeader>
    <oddFooter>&amp;L&amp;D,
&amp;P of &amp;N&amp;R&amp;F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 macro="[0]!ClearPortLayout">
                <anchor moveWithCells="1" sizeWithCells="1">
                  <from>
                    <xdr:col>3</xdr:col>
                    <xdr:colOff>190500</xdr:colOff>
                    <xdr:row>6</xdr:row>
                    <xdr:rowOff>57150</xdr:rowOff>
                  </from>
                  <to>
                    <xdr:col>5</xdr:col>
                    <xdr:colOff>1162050</xdr:colOff>
                    <xdr:row>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99C9-A3CA-476D-9DCA-227B9C1EEAE0}">
  <sheetPr codeName="Sheet6">
    <tabColor rgb="FF7030A0"/>
  </sheetPr>
  <dimension ref="A1:D160"/>
  <sheetViews>
    <sheetView view="pageBreakPreview" zoomScale="60" zoomScaleNormal="100" workbookViewId="0">
      <selection activeCell="I38" sqref="I38"/>
    </sheetView>
  </sheetViews>
  <sheetFormatPr defaultRowHeight="12.75" x14ac:dyDescent="0.2"/>
  <cols>
    <col min="1" max="1" width="14.5703125" bestFit="1" customWidth="1"/>
    <col min="2" max="2" width="11.28515625" style="2" customWidth="1"/>
    <col min="3" max="3" width="14.140625" bestFit="1" customWidth="1"/>
    <col min="4" max="4" width="11.28515625" style="1" customWidth="1"/>
  </cols>
  <sheetData>
    <row r="1" spans="1:4" s="15" customFormat="1" x14ac:dyDescent="0.2">
      <c r="A1" s="15" t="s">
        <v>64</v>
      </c>
      <c r="B1" s="15" t="s">
        <v>65</v>
      </c>
      <c r="C1" s="15" t="s">
        <v>66</v>
      </c>
      <c r="D1" s="15" t="s">
        <v>16</v>
      </c>
    </row>
    <row r="2" spans="1:4" x14ac:dyDescent="0.2">
      <c r="A2" t="str">
        <f>IF('ENC Labels'!D12&lt;&gt;"",'ENC Labels'!D12,"")</f>
        <v>ZJ040_R05</v>
      </c>
      <c r="B2" s="2" t="str">
        <f>IF(A2&lt;&gt;"",'ENC Labels'!E12,"")</f>
        <v>CB05-1</v>
      </c>
      <c r="C2" t="str">
        <f>IF(A2&lt;&gt;"",'ENC Labels'!F12,"")</f>
        <v>POWER</v>
      </c>
      <c r="D2" s="1">
        <f>IF(A2&lt;&gt;"",1,"")</f>
        <v>1</v>
      </c>
    </row>
    <row r="3" spans="1:4" x14ac:dyDescent="0.2">
      <c r="A3" t="str">
        <f>IF('ENC Labels'!D13&lt;&gt;"",'ENC Labels'!D13,"")</f>
        <v>ZJ040_R05</v>
      </c>
      <c r="B3" s="2" t="str">
        <f>IF(A3&lt;&gt;"",'ENC Labels'!E13,"")</f>
        <v>CB05-1</v>
      </c>
      <c r="C3" t="str">
        <f>IF(A3&lt;&gt;"",'ENC Labels'!F13,"")</f>
        <v>ETHERNET</v>
      </c>
      <c r="D3" s="1">
        <f t="shared" ref="D3:D60" si="0">IF(A3&lt;&gt;"",1,"")</f>
        <v>1</v>
      </c>
    </row>
    <row r="4" spans="1:4" x14ac:dyDescent="0.2">
      <c r="A4" t="str">
        <f>IF('ENC Labels'!D14&lt;&gt;"",'ENC Labels'!D14,"")</f>
        <v>ZJ040_R06</v>
      </c>
      <c r="B4" s="2" t="str">
        <f>IF(A4&lt;&gt;"",'ENC Labels'!E14,"")</f>
        <v>CB06-1</v>
      </c>
      <c r="C4" t="str">
        <f>IF(A4&lt;&gt;"",'ENC Labels'!F14,"")</f>
        <v>POWER</v>
      </c>
      <c r="D4" s="1">
        <f t="shared" si="0"/>
        <v>1</v>
      </c>
    </row>
    <row r="5" spans="1:4" x14ac:dyDescent="0.2">
      <c r="A5" t="str">
        <f>IF('ENC Labels'!D15&lt;&gt;"",'ENC Labels'!D15,"")</f>
        <v>ZJ040_R06</v>
      </c>
      <c r="B5" s="2" t="str">
        <f>IF(A5&lt;&gt;"",'ENC Labels'!E15,"")</f>
        <v>CB06-1</v>
      </c>
      <c r="C5" t="str">
        <f>IF(A5&lt;&gt;"",'ENC Labels'!F15,"")</f>
        <v>ETHERNET</v>
      </c>
      <c r="D5" s="1">
        <f t="shared" si="0"/>
        <v>1</v>
      </c>
    </row>
    <row r="6" spans="1:4" x14ac:dyDescent="0.2">
      <c r="A6" t="str">
        <f>IF('ENC Labels'!D16&lt;&gt;"",'ENC Labels'!D16,"")</f>
        <v>RH MET STAND</v>
      </c>
      <c r="B6" s="2" t="str">
        <f>IF(A6&lt;&gt;"",'ENC Labels'!E16,"")</f>
        <v>CB-2</v>
      </c>
      <c r="C6" t="str">
        <f>IF(A6&lt;&gt;"",'ENC Labels'!F16,"")</f>
        <v>POWER</v>
      </c>
      <c r="D6" s="1">
        <f t="shared" si="0"/>
        <v>1</v>
      </c>
    </row>
    <row r="7" spans="1:4" x14ac:dyDescent="0.2">
      <c r="A7" t="str">
        <f>IF('ENC Labels'!D17&lt;&gt;"",'ENC Labels'!D17,"")</f>
        <v>RH MET STAND</v>
      </c>
      <c r="B7" s="2" t="str">
        <f>IF(A7&lt;&gt;"",'ENC Labels'!E17,"")</f>
        <v>CB-2</v>
      </c>
      <c r="C7" t="str">
        <f>IF(A7&lt;&gt;"",'ENC Labels'!F17,"")</f>
        <v>ETHERNET</v>
      </c>
      <c r="D7" s="1">
        <f t="shared" si="0"/>
        <v>1</v>
      </c>
    </row>
    <row r="8" spans="1:4" x14ac:dyDescent="0.2">
      <c r="A8" t="str">
        <f>IF('ENC Labels'!D18&lt;&gt;"",'ENC Labels'!D18,"")</f>
        <v>LH INOS STAND</v>
      </c>
      <c r="B8" s="2" t="str">
        <f>IF(A8&lt;&gt;"",'ENC Labels'!E18,"")</f>
        <v>CB-3</v>
      </c>
      <c r="C8" t="str">
        <f>IF(A8&lt;&gt;"",'ENC Labels'!F18,"")</f>
        <v>POWER</v>
      </c>
      <c r="D8" s="1">
        <f t="shared" si="0"/>
        <v>1</v>
      </c>
    </row>
    <row r="9" spans="1:4" x14ac:dyDescent="0.2">
      <c r="A9" t="str">
        <f>IF('ENC Labels'!D19&lt;&gt;"",'ENC Labels'!D19,"")</f>
        <v>LH INOS STAND</v>
      </c>
      <c r="B9" s="2" t="str">
        <f>IF(A9&lt;&gt;"",'ENC Labels'!E19,"")</f>
        <v>CB-3</v>
      </c>
      <c r="C9" t="str">
        <f>IF(A9&lt;&gt;"",'ENC Labels'!F19,"")</f>
        <v>ETHERNET</v>
      </c>
      <c r="D9" s="1">
        <f t="shared" si="0"/>
        <v>1</v>
      </c>
    </row>
    <row r="10" spans="1:4" x14ac:dyDescent="0.2">
      <c r="A10" t="str">
        <f>IF('ENC Labels'!D20&lt;&gt;"",'ENC Labels'!D20,"")</f>
        <v>RH INOS STAND</v>
      </c>
      <c r="B10" s="2" t="str">
        <f>IF(A10&lt;&gt;"",'ENC Labels'!E20,"")</f>
        <v>CB-4</v>
      </c>
      <c r="C10" t="str">
        <f>IF(A10&lt;&gt;"",'ENC Labels'!F20,"")</f>
        <v>POWER</v>
      </c>
      <c r="D10" s="1">
        <f t="shared" si="0"/>
        <v>1</v>
      </c>
    </row>
    <row r="11" spans="1:4" x14ac:dyDescent="0.2">
      <c r="A11" t="str">
        <f>IF('ENC Labels'!D21&lt;&gt;"",'ENC Labels'!D21,"")</f>
        <v>RH INOS STAND</v>
      </c>
      <c r="B11" s="2" t="str">
        <f>IF(A11&lt;&gt;"",'ENC Labels'!E21,"")</f>
        <v>CB-4</v>
      </c>
      <c r="C11" t="str">
        <f>IF(A11&lt;&gt;"",'ENC Labels'!F21,"")</f>
        <v>ETHERNET</v>
      </c>
      <c r="D11" s="1">
        <f t="shared" si="0"/>
        <v>1</v>
      </c>
    </row>
    <row r="12" spans="1:4" x14ac:dyDescent="0.2">
      <c r="A12" t="str">
        <f>IF('ENC Labels'!D22&lt;&gt;"",'ENC Labels'!D22,"")</f>
        <v>SPARE #1</v>
      </c>
      <c r="B12" s="2" t="str">
        <f>IF(A12&lt;&gt;"",'ENC Labels'!E22,"")</f>
        <v/>
      </c>
      <c r="C12" t="str">
        <f>IF(A12&lt;&gt;"",'ENC Labels'!F22,"")</f>
        <v>POWER</v>
      </c>
      <c r="D12" s="1">
        <f t="shared" si="0"/>
        <v>1</v>
      </c>
    </row>
    <row r="13" spans="1:4" x14ac:dyDescent="0.2">
      <c r="A13" t="str">
        <f>IF('ENC Labels'!D23&lt;&gt;"",'ENC Labels'!D23,"")</f>
        <v>SPARE #1</v>
      </c>
      <c r="B13" s="2" t="str">
        <f>IF(A13&lt;&gt;"",'ENC Labels'!E23,"")</f>
        <v/>
      </c>
      <c r="C13" t="str">
        <f>IF(A13&lt;&gt;"",'ENC Labels'!F23,"")</f>
        <v>ETHERNET</v>
      </c>
      <c r="D13" s="1">
        <f t="shared" si="0"/>
        <v>1</v>
      </c>
    </row>
    <row r="14" spans="1:4" x14ac:dyDescent="0.2">
      <c r="A14" t="str">
        <f>IF('ENC Labels'!D24&lt;&gt;"",'ENC Labels'!D24,"")</f>
        <v>SPARE #2</v>
      </c>
      <c r="B14" s="2" t="str">
        <f>IF(A14&lt;&gt;"",'ENC Labels'!E24,"")</f>
        <v/>
      </c>
      <c r="C14" t="str">
        <f>IF(A14&lt;&gt;"",'ENC Labels'!F24,"")</f>
        <v>POWER</v>
      </c>
      <c r="D14" s="1">
        <f t="shared" si="0"/>
        <v>1</v>
      </c>
    </row>
    <row r="15" spans="1:4" x14ac:dyDescent="0.2">
      <c r="A15" t="str">
        <f>IF('ENC Labels'!D25&lt;&gt;"",'ENC Labels'!D25,"")</f>
        <v>SPARE #2</v>
      </c>
      <c r="B15" s="2" t="str">
        <f>IF(A15&lt;&gt;"",'ENC Labels'!E25,"")</f>
        <v/>
      </c>
      <c r="C15" t="str">
        <f>IF(A15&lt;&gt;"",'ENC Labels'!F25,"")</f>
        <v>ETHERNET</v>
      </c>
      <c r="D15" s="1">
        <f t="shared" si="0"/>
        <v>1</v>
      </c>
    </row>
    <row r="16" spans="1:4" x14ac:dyDescent="0.2">
      <c r="A16" t="str">
        <f>IF('ENC Labels'!D26&lt;&gt;"",'ENC Labels'!D26,"")</f>
        <v>SPARE #3</v>
      </c>
      <c r="B16" s="2" t="str">
        <f>IF(A16&lt;&gt;"",'ENC Labels'!E26,"")</f>
        <v/>
      </c>
      <c r="C16" t="str">
        <f>IF(A16&lt;&gt;"",'ENC Labels'!F26,"")</f>
        <v>POWER</v>
      </c>
      <c r="D16" s="1">
        <f t="shared" si="0"/>
        <v>1</v>
      </c>
    </row>
    <row r="17" spans="1:4" x14ac:dyDescent="0.2">
      <c r="A17" t="str">
        <f>IF('ENC Labels'!D27&lt;&gt;"",'ENC Labels'!D27,"")</f>
        <v>SPARE #3</v>
      </c>
      <c r="B17" s="2" t="str">
        <f>IF(A17&lt;&gt;"",'ENC Labels'!E27,"")</f>
        <v/>
      </c>
      <c r="C17" t="str">
        <f>IF(A17&lt;&gt;"",'ENC Labels'!F27,"")</f>
        <v>ETHERNET</v>
      </c>
      <c r="D17" s="1">
        <f t="shared" si="0"/>
        <v>1</v>
      </c>
    </row>
    <row r="18" spans="1:4" x14ac:dyDescent="0.2">
      <c r="A18" t="str">
        <f>IF('ENC Labels'!D28&lt;&gt;"",'ENC Labels'!D28,"")</f>
        <v>SPARE #4</v>
      </c>
      <c r="B18" s="2" t="str">
        <f>IF(A18&lt;&gt;"",'ENC Labels'!E28,"")</f>
        <v/>
      </c>
      <c r="C18" t="str">
        <f>IF(A18&lt;&gt;"",'ENC Labels'!F28,"")</f>
        <v>POWER</v>
      </c>
      <c r="D18" s="1">
        <f t="shared" si="0"/>
        <v>1</v>
      </c>
    </row>
    <row r="19" spans="1:4" x14ac:dyDescent="0.2">
      <c r="A19" t="str">
        <f>IF('ENC Labels'!D29&lt;&gt;"",'ENC Labels'!D29,"")</f>
        <v>SPARE #4</v>
      </c>
      <c r="B19" s="2" t="str">
        <f>IF(A19&lt;&gt;"",'ENC Labels'!E29,"")</f>
        <v/>
      </c>
      <c r="C19" t="str">
        <f>IF(A19&lt;&gt;"",'ENC Labels'!F29,"")</f>
        <v>ETHERNET</v>
      </c>
      <c r="D19" s="1">
        <f t="shared" si="0"/>
        <v>1</v>
      </c>
    </row>
    <row r="20" spans="1:4" x14ac:dyDescent="0.2">
      <c r="A20" t="str">
        <f>IF('ENC Labels'!D30&lt;&gt;"",'ENC Labels'!D30,"")</f>
        <v>R05 REF STAND</v>
      </c>
      <c r="B20" s="2" t="str">
        <f>IF(A20&lt;&gt;"",'ENC Labels'!E30,"")</f>
        <v>RM-1</v>
      </c>
      <c r="C20" t="str">
        <f>IF(A20&lt;&gt;"",'ENC Labels'!F30,"")</f>
        <v>POWER</v>
      </c>
      <c r="D20" s="1">
        <f t="shared" si="0"/>
        <v>1</v>
      </c>
    </row>
    <row r="21" spans="1:4" x14ac:dyDescent="0.2">
      <c r="A21" t="str">
        <f>IF('ENC Labels'!D32&lt;&gt;"",'ENC Labels'!D32,"")</f>
        <v>R06 REF STAND</v>
      </c>
      <c r="B21" s="2" t="str">
        <f>IF(A21&lt;&gt;"",'ENC Labels'!E32,"")</f>
        <v>RM-2</v>
      </c>
      <c r="C21" t="str">
        <f>IF(A21&lt;&gt;"",'ENC Labels'!F32,"")</f>
        <v>POWER</v>
      </c>
      <c r="D21" s="1">
        <f t="shared" si="0"/>
        <v>1</v>
      </c>
    </row>
    <row r="22" spans="1:4" x14ac:dyDescent="0.2">
      <c r="A22" t="str">
        <f>IF('ENC Labels'!D34&lt;&gt;"",'ENC Labels'!D34,"")</f>
        <v>RM SPARE #1</v>
      </c>
      <c r="B22" s="2" t="str">
        <f>IF(A22&lt;&gt;"",'ENC Labels'!E34,"")</f>
        <v/>
      </c>
      <c r="C22" t="str">
        <f>IF(A22&lt;&gt;"",'ENC Labels'!F34,"")</f>
        <v>POWER</v>
      </c>
      <c r="D22" s="1">
        <f t="shared" si="0"/>
        <v>1</v>
      </c>
    </row>
    <row r="23" spans="1:4" x14ac:dyDescent="0.2">
      <c r="A23" t="str">
        <f>IF('ENC Labels'!D36&lt;&gt;"",'ENC Labels'!D36,"")</f>
        <v>RM SPARE #2</v>
      </c>
      <c r="B23" s="2" t="str">
        <f>IF(A23&lt;&gt;"",'ENC Labels'!E36,"")</f>
        <v/>
      </c>
      <c r="C23" t="str">
        <f>IF(A23&lt;&gt;"",'ENC Labels'!F36,"")</f>
        <v>POWER</v>
      </c>
      <c r="D23" s="1">
        <f t="shared" si="0"/>
        <v>1</v>
      </c>
    </row>
    <row r="24" spans="1:4" x14ac:dyDescent="0.2">
      <c r="A24" t="str">
        <f>IF('ENC Labels'!D40&lt;&gt;"",'ENC Labels'!D40,"")</f>
        <v>EN1 - INOS</v>
      </c>
      <c r="B24" s="2" t="str">
        <f>IF(A24&lt;&gt;"",'ENC Labels'!E40,"")</f>
        <v>ETHERNET SM</v>
      </c>
      <c r="C24" t="str">
        <f>IF(A24&lt;&gt;"",'ENC Labels'!F40,"")</f>
        <v>TO CELL SWITCH</v>
      </c>
      <c r="D24" s="1">
        <f t="shared" si="0"/>
        <v>1</v>
      </c>
    </row>
    <row r="25" spans="1:4" x14ac:dyDescent="0.2">
      <c r="A25" t="str">
        <f>IF('ENC Labels'!D41&lt;&gt;"",'ENC Labels'!D41,"")</f>
        <v>EN2 - INOS</v>
      </c>
      <c r="B25" s="2" t="str">
        <f>IF(A25&lt;&gt;"",'ENC Labels'!E41,"")</f>
        <v>ETHERNET IP</v>
      </c>
      <c r="C25" t="str">
        <f>IF(A25&lt;&gt;"",'ENC Labels'!F41,"")</f>
        <v>TO CELL SWITCH</v>
      </c>
      <c r="D25" s="1">
        <f t="shared" si="0"/>
        <v>1</v>
      </c>
    </row>
    <row r="26" spans="1:4" x14ac:dyDescent="0.2">
      <c r="A26" t="str">
        <f>IF('ENC Labels'!D42&lt;&gt;"",'ENC Labels'!D42,"")</f>
        <v>EN3 - INOS</v>
      </c>
      <c r="B26" s="2" t="str">
        <f>IF(A26&lt;&gt;"",'ENC Labels'!E42,"")</f>
        <v>INOS DATA</v>
      </c>
      <c r="C26" t="str">
        <f>IF(A26&lt;&gt;"",'ENC Labels'!F42,"")</f>
        <v>PLANT NETWORK</v>
      </c>
      <c r="D26" s="1">
        <f t="shared" si="0"/>
        <v>1</v>
      </c>
    </row>
    <row r="27" spans="1:4" x14ac:dyDescent="0.2">
      <c r="A27" t="str">
        <f>IF('ENC Labels'!D43&lt;&gt;"",'ENC Labels'!D43,"")</f>
        <v>EN4 - METRONOR</v>
      </c>
      <c r="B27" s="2" t="str">
        <f>IF(A27&lt;&gt;"",'ENC Labels'!E43,"")</f>
        <v>ETHERNET SM</v>
      </c>
      <c r="C27" t="str">
        <f>IF(A27&lt;&gt;"",'ENC Labels'!F43,"")</f>
        <v>TO CELL SWITCH</v>
      </c>
      <c r="D27" s="1">
        <f t="shared" si="0"/>
        <v>1</v>
      </c>
    </row>
    <row r="28" spans="1:4" x14ac:dyDescent="0.2">
      <c r="A28" t="str">
        <f>IF('ENC Labels'!D44&lt;&gt;"",'ENC Labels'!D44,"")</f>
        <v/>
      </c>
      <c r="B28" s="2" t="str">
        <f>IF(A28&lt;&gt;"",'ENC Labels'!E44,"")</f>
        <v/>
      </c>
      <c r="C28" t="str">
        <f>IF(A28&lt;&gt;"",'ENC Labels'!F44,"")</f>
        <v/>
      </c>
      <c r="D28" s="1" t="str">
        <f t="shared" si="0"/>
        <v/>
      </c>
    </row>
    <row r="29" spans="1:4" x14ac:dyDescent="0.2">
      <c r="A29" t="str">
        <f>IF('ENC Labels'!D45&lt;&gt;"",'ENC Labels'!D45,"")</f>
        <v/>
      </c>
      <c r="B29" s="2" t="str">
        <f>IF(A29&lt;&gt;"",'ENC Labels'!E45,"")</f>
        <v/>
      </c>
      <c r="C29" t="str">
        <f>IF(A29&lt;&gt;"",'ENC Labels'!F45,"")</f>
        <v/>
      </c>
      <c r="D29" s="1" t="str">
        <f t="shared" si="0"/>
        <v/>
      </c>
    </row>
    <row r="30" spans="1:4" x14ac:dyDescent="0.2">
      <c r="A30" t="str">
        <f>IF('ENC Labels'!D46&lt;&gt;"",'ENC Labels'!D46,"")</f>
        <v/>
      </c>
      <c r="B30" s="2" t="str">
        <f>IF(A30&lt;&gt;"",'ENC Labels'!E46,"")</f>
        <v/>
      </c>
      <c r="C30" t="str">
        <f>IF(A30&lt;&gt;"",'ENC Labels'!F46,"")</f>
        <v/>
      </c>
      <c r="D30" s="1" t="str">
        <f t="shared" si="0"/>
        <v/>
      </c>
    </row>
    <row r="31" spans="1:4" x14ac:dyDescent="0.2">
      <c r="A31" t="str">
        <f>IF('ENC Labels'!D47&lt;&gt;"",'ENC Labels'!D47,"")</f>
        <v/>
      </c>
      <c r="B31" s="2" t="str">
        <f>IF(A31&lt;&gt;"",'ENC Labels'!E47,"")</f>
        <v/>
      </c>
      <c r="C31" t="str">
        <f>IF(A31&lt;&gt;"",'ENC Labels'!F47,"")</f>
        <v/>
      </c>
      <c r="D31" s="1" t="str">
        <f t="shared" si="0"/>
        <v/>
      </c>
    </row>
    <row r="32" spans="1:4" x14ac:dyDescent="0.2">
      <c r="A32" t="str">
        <f>IF('ENC Labels'!D48&lt;&gt;"",'ENC Labels'!D48,"")</f>
        <v/>
      </c>
      <c r="B32" s="2" t="str">
        <f>IF(A32&lt;&gt;"",'ENC Labels'!E48,"")</f>
        <v/>
      </c>
      <c r="C32" t="str">
        <f>IF(A32&lt;&gt;"",'ENC Labels'!F48,"")</f>
        <v/>
      </c>
      <c r="D32" s="1" t="str">
        <f t="shared" si="0"/>
        <v/>
      </c>
    </row>
    <row r="33" spans="1:4" x14ac:dyDescent="0.2">
      <c r="A33" t="str">
        <f>IF('ENC Labels'!D49&lt;&gt;"",'ENC Labels'!D49,"")</f>
        <v/>
      </c>
      <c r="B33" s="2" t="str">
        <f>IF(A33&lt;&gt;"",'ENC Labels'!E49,"")</f>
        <v/>
      </c>
      <c r="C33" t="str">
        <f>IF(A33&lt;&gt;"",'ENC Labels'!F49,"")</f>
        <v/>
      </c>
      <c r="D33" s="1" t="str">
        <f t="shared" si="0"/>
        <v/>
      </c>
    </row>
    <row r="34" spans="1:4" x14ac:dyDescent="0.2">
      <c r="A34" t="str">
        <f>IF('ENC Labels'!D50&lt;&gt;"",'ENC Labels'!D50,"")</f>
        <v/>
      </c>
      <c r="B34" s="2" t="str">
        <f>IF(A34&lt;&gt;"",'ENC Labels'!E50,"")</f>
        <v/>
      </c>
      <c r="C34" t="str">
        <f>IF(A34&lt;&gt;"",'ENC Labels'!F50,"")</f>
        <v/>
      </c>
      <c r="D34" s="1" t="str">
        <f t="shared" si="0"/>
        <v/>
      </c>
    </row>
    <row r="35" spans="1:4" x14ac:dyDescent="0.2">
      <c r="A35" t="str">
        <f>IF('ENC Labels'!D51&lt;&gt;"",'ENC Labels'!D51,"")</f>
        <v/>
      </c>
      <c r="B35" s="2" t="str">
        <f>IF(A35&lt;&gt;"",'ENC Labels'!E51,"")</f>
        <v/>
      </c>
      <c r="C35" t="str">
        <f>IF(A35&lt;&gt;"",'ENC Labels'!F51,"")</f>
        <v/>
      </c>
      <c r="D35" s="1" t="str">
        <f t="shared" si="0"/>
        <v/>
      </c>
    </row>
    <row r="36" spans="1:4" x14ac:dyDescent="0.2">
      <c r="A36" t="str">
        <f>IF('ENC Labels'!D52&lt;&gt;"",'ENC Labels'!D52,"")</f>
        <v/>
      </c>
      <c r="B36" s="2" t="str">
        <f>IF(A36&lt;&gt;"",'ENC Labels'!E52,"")</f>
        <v/>
      </c>
      <c r="C36" t="str">
        <f>IF(A36&lt;&gt;"",'ENC Labels'!F52,"")</f>
        <v/>
      </c>
      <c r="D36" s="1" t="str">
        <f t="shared" si="0"/>
        <v/>
      </c>
    </row>
    <row r="37" spans="1:4" x14ac:dyDescent="0.2">
      <c r="A37" t="str">
        <f>IF('ENC Labels'!D53&lt;&gt;"",'ENC Labels'!D53,"")</f>
        <v/>
      </c>
      <c r="B37" s="2" t="str">
        <f>IF(A37&lt;&gt;"",'ENC Labels'!E53,"")</f>
        <v/>
      </c>
      <c r="C37" t="str">
        <f>IF(A37&lt;&gt;"",'ENC Labels'!F53,"")</f>
        <v/>
      </c>
      <c r="D37" s="1" t="str">
        <f t="shared" si="0"/>
        <v/>
      </c>
    </row>
    <row r="38" spans="1:4" x14ac:dyDescent="0.2">
      <c r="A38" t="str">
        <f>IF('ENC Labels'!D54&lt;&gt;"",'ENC Labels'!D54,"")</f>
        <v/>
      </c>
      <c r="B38" s="2" t="str">
        <f>IF(A38&lt;&gt;"",'ENC Labels'!E54,"")</f>
        <v/>
      </c>
      <c r="C38" t="str">
        <f>IF(A38&lt;&gt;"",'ENC Labels'!F54,"")</f>
        <v/>
      </c>
      <c r="D38" s="1" t="str">
        <f t="shared" si="0"/>
        <v/>
      </c>
    </row>
    <row r="39" spans="1:4" x14ac:dyDescent="0.2">
      <c r="A39" t="str">
        <f>IF('ENC Labels'!D55&lt;&gt;"",'ENC Labels'!D55,"")</f>
        <v/>
      </c>
      <c r="B39" s="2" t="str">
        <f>IF(A39&lt;&gt;"",'ENC Labels'!E55,"")</f>
        <v/>
      </c>
      <c r="C39" t="str">
        <f>IF(A39&lt;&gt;"",'ENC Labels'!F55,"")</f>
        <v/>
      </c>
      <c r="D39" s="1" t="str">
        <f t="shared" si="0"/>
        <v/>
      </c>
    </row>
    <row r="40" spans="1:4" x14ac:dyDescent="0.2">
      <c r="A40" t="str">
        <f>IF('ENC Labels'!D56&lt;&gt;"",'ENC Labels'!D56,"")</f>
        <v/>
      </c>
      <c r="B40" s="2" t="str">
        <f>IF(A40&lt;&gt;"",'ENC Labels'!E56,"")</f>
        <v/>
      </c>
      <c r="C40" t="str">
        <f>IF(A40&lt;&gt;"",'ENC Labels'!F56,"")</f>
        <v/>
      </c>
      <c r="D40" s="1" t="str">
        <f t="shared" si="0"/>
        <v/>
      </c>
    </row>
    <row r="41" spans="1:4" x14ac:dyDescent="0.2">
      <c r="A41" t="str">
        <f>IF('ENC Labels'!D57&lt;&gt;"",'ENC Labels'!D57,"")</f>
        <v/>
      </c>
      <c r="B41" s="2" t="str">
        <f>IF(A41&lt;&gt;"",'ENC Labels'!E57,"")</f>
        <v/>
      </c>
      <c r="C41" t="str">
        <f>IF(A41&lt;&gt;"",'ENC Labels'!F57,"")</f>
        <v/>
      </c>
      <c r="D41" s="1" t="str">
        <f t="shared" si="0"/>
        <v/>
      </c>
    </row>
    <row r="42" spans="1:4" x14ac:dyDescent="0.2">
      <c r="A42" t="str">
        <f>IF('ENC Labels'!D58&lt;&gt;"",'ENC Labels'!D58,"")</f>
        <v/>
      </c>
      <c r="B42" s="2" t="str">
        <f>IF(A42&lt;&gt;"",'ENC Labels'!E58,"")</f>
        <v/>
      </c>
      <c r="C42" t="str">
        <f>IF(A42&lt;&gt;"",'ENC Labels'!F58,"")</f>
        <v/>
      </c>
      <c r="D42" s="1" t="str">
        <f t="shared" si="0"/>
        <v/>
      </c>
    </row>
    <row r="43" spans="1:4" x14ac:dyDescent="0.2">
      <c r="A43" t="str">
        <f>IF('ENC Labels'!D59&lt;&gt;"",'ENC Labels'!D59,"")</f>
        <v/>
      </c>
      <c r="B43" s="2" t="str">
        <f>IF(A43&lt;&gt;"",'ENC Labels'!E59,"")</f>
        <v/>
      </c>
      <c r="C43" t="str">
        <f>IF(A43&lt;&gt;"",'ENC Labels'!F59,"")</f>
        <v/>
      </c>
      <c r="D43" s="1" t="str">
        <f t="shared" si="0"/>
        <v/>
      </c>
    </row>
    <row r="44" spans="1:4" x14ac:dyDescent="0.2">
      <c r="A44" t="str">
        <f>IF('ENC Labels'!D60&lt;&gt;"",'ENC Labels'!D60,"")</f>
        <v/>
      </c>
      <c r="B44" s="2" t="str">
        <f>IF(A44&lt;&gt;"",'ENC Labels'!E60,"")</f>
        <v/>
      </c>
      <c r="C44" t="str">
        <f>IF(A44&lt;&gt;"",'ENC Labels'!F60,"")</f>
        <v/>
      </c>
      <c r="D44" s="1" t="str">
        <f t="shared" si="0"/>
        <v/>
      </c>
    </row>
    <row r="45" spans="1:4" x14ac:dyDescent="0.2">
      <c r="A45" t="str">
        <f>IF('ENC Labels'!D61&lt;&gt;"",'ENC Labels'!D61,"")</f>
        <v/>
      </c>
      <c r="B45" s="2" t="str">
        <f>IF(A45&lt;&gt;"",'ENC Labels'!E61,"")</f>
        <v/>
      </c>
      <c r="C45" t="str">
        <f>IF(A45&lt;&gt;"",'ENC Labels'!F61,"")</f>
        <v/>
      </c>
      <c r="D45" s="1" t="str">
        <f t="shared" si="0"/>
        <v/>
      </c>
    </row>
    <row r="46" spans="1:4" x14ac:dyDescent="0.2">
      <c r="A46" t="str">
        <f>IF('ENC Labels'!D62&lt;&gt;"",'ENC Labels'!D62,"")</f>
        <v/>
      </c>
      <c r="B46" s="2" t="str">
        <f>IF(A46&lt;&gt;"",'ENC Labels'!E62,"")</f>
        <v/>
      </c>
      <c r="C46" t="str">
        <f>IF(A46&lt;&gt;"",'ENC Labels'!F62,"")</f>
        <v/>
      </c>
      <c r="D46" s="1" t="str">
        <f t="shared" si="0"/>
        <v/>
      </c>
    </row>
    <row r="47" spans="1:4" x14ac:dyDescent="0.2">
      <c r="A47" t="str">
        <f>IF('ENC Labels'!D63&lt;&gt;"",'ENC Labels'!D63,"")</f>
        <v/>
      </c>
      <c r="B47" s="2" t="str">
        <f>IF(A47&lt;&gt;"",'ENC Labels'!E63,"")</f>
        <v/>
      </c>
      <c r="C47" t="str">
        <f>IF(A47&lt;&gt;"",'ENC Labels'!F63,"")</f>
        <v/>
      </c>
      <c r="D47" s="1" t="str">
        <f t="shared" si="0"/>
        <v/>
      </c>
    </row>
    <row r="48" spans="1:4" x14ac:dyDescent="0.2">
      <c r="A48" t="str">
        <f>IF('ENC Labels'!D64&lt;&gt;"",'ENC Labels'!D64,"")</f>
        <v/>
      </c>
      <c r="B48" s="2" t="str">
        <f>IF(A48&lt;&gt;"",'ENC Labels'!E64,"")</f>
        <v/>
      </c>
      <c r="C48" t="str">
        <f>IF(A48&lt;&gt;"",'ENC Labels'!F64,"")</f>
        <v/>
      </c>
      <c r="D48" s="1" t="str">
        <f t="shared" si="0"/>
        <v/>
      </c>
    </row>
    <row r="49" spans="1:4" x14ac:dyDescent="0.2">
      <c r="A49" t="str">
        <f>IF('ENC Labels'!D65&lt;&gt;"",'ENC Labels'!D65,"")</f>
        <v/>
      </c>
      <c r="B49" s="2" t="str">
        <f>IF(A49&lt;&gt;"",'ENC Labels'!E65,"")</f>
        <v/>
      </c>
      <c r="C49" t="str">
        <f>IF(A49&lt;&gt;"",'ENC Labels'!F65,"")</f>
        <v/>
      </c>
      <c r="D49" s="1" t="str">
        <f t="shared" si="0"/>
        <v/>
      </c>
    </row>
    <row r="50" spans="1:4" x14ac:dyDescent="0.2">
      <c r="A50" t="str">
        <f>IF('ENC Labels'!D66&lt;&gt;"",'ENC Labels'!D66,"")</f>
        <v/>
      </c>
      <c r="B50" s="2" t="str">
        <f>IF(A50&lt;&gt;"",'ENC Labels'!E66,"")</f>
        <v/>
      </c>
      <c r="C50" t="str">
        <f>IF(A50&lt;&gt;"",'ENC Labels'!F66,"")</f>
        <v/>
      </c>
      <c r="D50" s="1" t="str">
        <f t="shared" si="0"/>
        <v/>
      </c>
    </row>
    <row r="51" spans="1:4" x14ac:dyDescent="0.2">
      <c r="A51" t="str">
        <f>IF('ENC Labels'!D67&lt;&gt;"",'ENC Labels'!D67,"")</f>
        <v/>
      </c>
      <c r="B51" s="2" t="str">
        <f>IF(A51&lt;&gt;"",'ENC Labels'!E67,"")</f>
        <v/>
      </c>
      <c r="C51" t="str">
        <f>IF(A51&lt;&gt;"",'ENC Labels'!F67,"")</f>
        <v/>
      </c>
      <c r="D51" s="1" t="str">
        <f t="shared" si="0"/>
        <v/>
      </c>
    </row>
    <row r="52" spans="1:4" x14ac:dyDescent="0.2">
      <c r="A52" t="str">
        <f>IF('ENC Labels'!D68&lt;&gt;"",'ENC Labels'!D68,"")</f>
        <v/>
      </c>
      <c r="B52" s="2" t="str">
        <f>IF(A52&lt;&gt;"",'ENC Labels'!E68,"")</f>
        <v/>
      </c>
      <c r="C52" t="str">
        <f>IF(A52&lt;&gt;"",'ENC Labels'!F68,"")</f>
        <v/>
      </c>
      <c r="D52" s="1" t="str">
        <f t="shared" si="0"/>
        <v/>
      </c>
    </row>
    <row r="53" spans="1:4" x14ac:dyDescent="0.2">
      <c r="A53" t="str">
        <f>IF('ENC Labels'!D69&lt;&gt;"",'ENC Labels'!D69,"")</f>
        <v/>
      </c>
      <c r="B53" s="2" t="str">
        <f>IF(A53&lt;&gt;"",'ENC Labels'!E69,"")</f>
        <v/>
      </c>
      <c r="C53" t="str">
        <f>IF(A53&lt;&gt;"",'ENC Labels'!F69,"")</f>
        <v/>
      </c>
      <c r="D53" s="1" t="str">
        <f t="shared" si="0"/>
        <v/>
      </c>
    </row>
    <row r="54" spans="1:4" x14ac:dyDescent="0.2">
      <c r="A54" t="str">
        <f>IF('ENC Labels'!D70&lt;&gt;"",'ENC Labels'!D70,"")</f>
        <v/>
      </c>
      <c r="B54" s="2" t="str">
        <f>IF(A54&lt;&gt;"",'ENC Labels'!E70,"")</f>
        <v/>
      </c>
      <c r="C54" t="str">
        <f>IF(A54&lt;&gt;"",'ENC Labels'!F70,"")</f>
        <v/>
      </c>
      <c r="D54" s="1" t="str">
        <f t="shared" si="0"/>
        <v/>
      </c>
    </row>
    <row r="55" spans="1:4" x14ac:dyDescent="0.2">
      <c r="A55" t="str">
        <f>IF('ENC Labels'!D71&lt;&gt;"",'ENC Labels'!D71,"")</f>
        <v/>
      </c>
      <c r="B55" s="2" t="str">
        <f>IF(A55&lt;&gt;"",'ENC Labels'!E71,"")</f>
        <v/>
      </c>
      <c r="C55" t="str">
        <f>IF(A55&lt;&gt;"",'ENC Labels'!F71,"")</f>
        <v/>
      </c>
      <c r="D55" s="1" t="str">
        <f t="shared" si="0"/>
        <v/>
      </c>
    </row>
    <row r="56" spans="1:4" x14ac:dyDescent="0.2">
      <c r="A56" t="str">
        <f>IF('ENC Labels'!D72&lt;&gt;"",'ENC Labels'!D72,"")</f>
        <v/>
      </c>
      <c r="B56" s="2" t="str">
        <f>IF(A56&lt;&gt;"",'ENC Labels'!E72,"")</f>
        <v/>
      </c>
      <c r="C56" t="str">
        <f>IF(A56&lt;&gt;"",'ENC Labels'!F72,"")</f>
        <v/>
      </c>
      <c r="D56" s="1" t="str">
        <f t="shared" si="0"/>
        <v/>
      </c>
    </row>
    <row r="57" spans="1:4" x14ac:dyDescent="0.2">
      <c r="A57" t="str">
        <f>IF('ENC Labels'!D73&lt;&gt;"",'ENC Labels'!D73,"")</f>
        <v/>
      </c>
      <c r="B57" s="2" t="str">
        <f>IF(A57&lt;&gt;"",'ENC Labels'!E73,"")</f>
        <v/>
      </c>
      <c r="C57" t="str">
        <f>IF(A57&lt;&gt;"",'ENC Labels'!F73,"")</f>
        <v/>
      </c>
      <c r="D57" s="1" t="str">
        <f t="shared" si="0"/>
        <v/>
      </c>
    </row>
    <row r="58" spans="1:4" x14ac:dyDescent="0.2">
      <c r="A58" t="str">
        <f>IF('ENC Labels'!D74&lt;&gt;"",'ENC Labels'!D74,"")</f>
        <v/>
      </c>
      <c r="B58" s="2" t="str">
        <f>IF(A58&lt;&gt;"",'ENC Labels'!E74,"")</f>
        <v/>
      </c>
      <c r="C58" t="str">
        <f>IF(A58&lt;&gt;"",'ENC Labels'!F74,"")</f>
        <v/>
      </c>
      <c r="D58" s="1" t="str">
        <f t="shared" si="0"/>
        <v/>
      </c>
    </row>
    <row r="59" spans="1:4" x14ac:dyDescent="0.2">
      <c r="A59" t="str">
        <f>IF('ENC Labels'!D75&lt;&gt;"",'ENC Labels'!D75,"")</f>
        <v/>
      </c>
      <c r="B59" s="2" t="str">
        <f>IF(A59&lt;&gt;"",'ENC Labels'!E75,"")</f>
        <v/>
      </c>
      <c r="C59" t="str">
        <f>IF(A59&lt;&gt;"",'ENC Labels'!F75,"")</f>
        <v/>
      </c>
      <c r="D59" s="1" t="str">
        <f t="shared" si="0"/>
        <v/>
      </c>
    </row>
    <row r="60" spans="1:4" x14ac:dyDescent="0.2">
      <c r="A60" t="str">
        <f>IF('ENC Labels'!D76&lt;&gt;"",'ENC Labels'!D76,"")</f>
        <v/>
      </c>
      <c r="B60" s="2" t="str">
        <f>IF(A60&lt;&gt;"",'ENC Labels'!E76,"")</f>
        <v/>
      </c>
      <c r="C60" t="str">
        <f>IF(A60&lt;&gt;"",'ENC Labels'!F76,"")</f>
        <v/>
      </c>
      <c r="D60" s="1" t="str">
        <f t="shared" si="0"/>
        <v/>
      </c>
    </row>
    <row r="61" spans="1:4" x14ac:dyDescent="0.2">
      <c r="A61" t="str">
        <f>IF('ENC Labels'!D77&lt;&gt;"",'ENC Labels'!D77,"")</f>
        <v/>
      </c>
      <c r="B61" s="2" t="str">
        <f>IF(A61&lt;&gt;"",'ENC Labels'!E77,"")</f>
        <v/>
      </c>
      <c r="C61" t="str">
        <f>IF(A61&lt;&gt;"",'ENC Labels'!F77,"")</f>
        <v/>
      </c>
      <c r="D61" s="1" t="str">
        <f t="shared" ref="D61:D124" si="1">IF(A61&lt;&gt;"",1,"")</f>
        <v/>
      </c>
    </row>
    <row r="62" spans="1:4" x14ac:dyDescent="0.2">
      <c r="A62" t="str">
        <f>IF('ENC Labels'!D78&lt;&gt;"",'ENC Labels'!D78,"")</f>
        <v/>
      </c>
      <c r="B62" s="2" t="str">
        <f>IF(A62&lt;&gt;"",'ENC Labels'!E78,"")</f>
        <v/>
      </c>
      <c r="C62" t="str">
        <f>IF(A62&lt;&gt;"",'ENC Labels'!F78,"")</f>
        <v/>
      </c>
      <c r="D62" s="1" t="str">
        <f t="shared" si="1"/>
        <v/>
      </c>
    </row>
    <row r="63" spans="1:4" x14ac:dyDescent="0.2">
      <c r="A63" t="str">
        <f>IF('ENC Labels'!D79&lt;&gt;"",'ENC Labels'!D79,"")</f>
        <v/>
      </c>
      <c r="B63" s="2" t="str">
        <f>IF(A63&lt;&gt;"",'ENC Labels'!E79,"")</f>
        <v/>
      </c>
      <c r="C63" t="str">
        <f>IF(A63&lt;&gt;"",'ENC Labels'!F79,"")</f>
        <v/>
      </c>
      <c r="D63" s="1" t="str">
        <f t="shared" si="1"/>
        <v/>
      </c>
    </row>
    <row r="64" spans="1:4" x14ac:dyDescent="0.2">
      <c r="A64" t="str">
        <f>IF('ENC Labels'!D80&lt;&gt;"",'ENC Labels'!D80,"")</f>
        <v/>
      </c>
      <c r="B64" s="2" t="str">
        <f>IF(A64&lt;&gt;"",'ENC Labels'!E80,"")</f>
        <v/>
      </c>
      <c r="C64" t="str">
        <f>IF(A64&lt;&gt;"",'ENC Labels'!F80,"")</f>
        <v/>
      </c>
      <c r="D64" s="1" t="str">
        <f t="shared" si="1"/>
        <v/>
      </c>
    </row>
    <row r="65" spans="1:4" x14ac:dyDescent="0.2">
      <c r="A65" t="str">
        <f>IF('ENC Labels'!D81&lt;&gt;"",'ENC Labels'!D81,"")</f>
        <v/>
      </c>
      <c r="B65" s="2" t="str">
        <f>IF(A65&lt;&gt;"",'ENC Labels'!E81,"")</f>
        <v/>
      </c>
      <c r="C65" t="str">
        <f>IF(A65&lt;&gt;"",'ENC Labels'!F81,"")</f>
        <v/>
      </c>
      <c r="D65" s="1" t="str">
        <f t="shared" si="1"/>
        <v/>
      </c>
    </row>
    <row r="66" spans="1:4" x14ac:dyDescent="0.2">
      <c r="A66" t="str">
        <f>IF('ENC Labels'!D82&lt;&gt;"",'ENC Labels'!D82,"")</f>
        <v/>
      </c>
      <c r="B66" s="2" t="str">
        <f>IF(A66&lt;&gt;"",'ENC Labels'!E82,"")</f>
        <v/>
      </c>
      <c r="C66" t="str">
        <f>IF(A66&lt;&gt;"",'ENC Labels'!F82,"")</f>
        <v/>
      </c>
      <c r="D66" s="1" t="str">
        <f t="shared" si="1"/>
        <v/>
      </c>
    </row>
    <row r="67" spans="1:4" x14ac:dyDescent="0.2">
      <c r="A67" t="str">
        <f>IF('ENC Labels'!D83&lt;&gt;"",'ENC Labels'!D83,"")</f>
        <v/>
      </c>
      <c r="B67" s="2" t="str">
        <f>IF(A67&lt;&gt;"",'ENC Labels'!E83,"")</f>
        <v/>
      </c>
      <c r="C67" t="str">
        <f>IF(A67&lt;&gt;"",'ENC Labels'!F83,"")</f>
        <v/>
      </c>
      <c r="D67" s="1" t="str">
        <f t="shared" si="1"/>
        <v/>
      </c>
    </row>
    <row r="68" spans="1:4" x14ac:dyDescent="0.2">
      <c r="A68" t="str">
        <f>IF('ENC Labels'!D84&lt;&gt;"",'ENC Labels'!D84,"")</f>
        <v/>
      </c>
      <c r="B68" s="2" t="str">
        <f>IF(A68&lt;&gt;"",'ENC Labels'!E84,"")</f>
        <v/>
      </c>
      <c r="C68" t="str">
        <f>IF(A68&lt;&gt;"",'ENC Labels'!F84,"")</f>
        <v/>
      </c>
      <c r="D68" s="1" t="str">
        <f t="shared" si="1"/>
        <v/>
      </c>
    </row>
    <row r="69" spans="1:4" x14ac:dyDescent="0.2">
      <c r="A69" t="str">
        <f>IF('ENC Labels'!D85&lt;&gt;"",'ENC Labels'!D85,"")</f>
        <v/>
      </c>
      <c r="B69" s="2" t="str">
        <f>IF(A69&lt;&gt;"",'ENC Labels'!E85,"")</f>
        <v/>
      </c>
      <c r="C69" t="str">
        <f>IF(A69&lt;&gt;"",'ENC Labels'!F85,"")</f>
        <v/>
      </c>
      <c r="D69" s="1" t="str">
        <f t="shared" si="1"/>
        <v/>
      </c>
    </row>
    <row r="70" spans="1:4" x14ac:dyDescent="0.2">
      <c r="A70" t="str">
        <f>IF('ENC Labels'!D86&lt;&gt;"",'ENC Labels'!D86,"")</f>
        <v/>
      </c>
      <c r="B70" s="2" t="str">
        <f>IF(A70&lt;&gt;"",'ENC Labels'!E86,"")</f>
        <v/>
      </c>
      <c r="C70" t="str">
        <f>IF(A70&lt;&gt;"",'ENC Labels'!F86,"")</f>
        <v/>
      </c>
      <c r="D70" s="1" t="str">
        <f t="shared" si="1"/>
        <v/>
      </c>
    </row>
    <row r="71" spans="1:4" x14ac:dyDescent="0.2">
      <c r="A71" t="str">
        <f>IF('ENC Labels'!D87&lt;&gt;"",'ENC Labels'!D87,"")</f>
        <v/>
      </c>
      <c r="B71" s="2" t="str">
        <f>IF(A71&lt;&gt;"",'ENC Labels'!E87,"")</f>
        <v/>
      </c>
      <c r="C71" t="str">
        <f>IF(A71&lt;&gt;"",'ENC Labels'!F87,"")</f>
        <v/>
      </c>
      <c r="D71" s="1" t="str">
        <f t="shared" si="1"/>
        <v/>
      </c>
    </row>
    <row r="72" spans="1:4" x14ac:dyDescent="0.2">
      <c r="A72" t="str">
        <f>IF('ENC Labels'!D88&lt;&gt;"",'ENC Labels'!D88,"")</f>
        <v/>
      </c>
      <c r="B72" s="2" t="str">
        <f>IF(A72&lt;&gt;"",'ENC Labels'!E88,"")</f>
        <v/>
      </c>
      <c r="C72" t="str">
        <f>IF(A72&lt;&gt;"",'ENC Labels'!F88,"")</f>
        <v/>
      </c>
      <c r="D72" s="1" t="str">
        <f t="shared" si="1"/>
        <v/>
      </c>
    </row>
    <row r="73" spans="1:4" x14ac:dyDescent="0.2">
      <c r="A73" t="str">
        <f>IF('ENC Labels'!D89&lt;&gt;"",'ENC Labels'!D89,"")</f>
        <v/>
      </c>
      <c r="B73" s="2" t="str">
        <f>IF(A73&lt;&gt;"",'ENC Labels'!E89,"")</f>
        <v/>
      </c>
      <c r="C73" t="str">
        <f>IF(A73&lt;&gt;"",'ENC Labels'!F89,"")</f>
        <v/>
      </c>
      <c r="D73" s="1" t="str">
        <f t="shared" si="1"/>
        <v/>
      </c>
    </row>
    <row r="74" spans="1:4" x14ac:dyDescent="0.2">
      <c r="A74" t="str">
        <f>IF('ENC Labels'!D90&lt;&gt;"",'ENC Labels'!D90,"")</f>
        <v/>
      </c>
      <c r="B74" s="2" t="str">
        <f>IF(A74&lt;&gt;"",'ENC Labels'!E90,"")</f>
        <v/>
      </c>
      <c r="C74" t="str">
        <f>IF(A74&lt;&gt;"",'ENC Labels'!F90,"")</f>
        <v/>
      </c>
      <c r="D74" s="1" t="str">
        <f t="shared" si="1"/>
        <v/>
      </c>
    </row>
    <row r="75" spans="1:4" x14ac:dyDescent="0.2">
      <c r="A75" t="str">
        <f>IF('ENC Labels'!D91&lt;&gt;"",'ENC Labels'!D91,"")</f>
        <v/>
      </c>
      <c r="B75" s="2" t="str">
        <f>IF(A75&lt;&gt;"",'ENC Labels'!E91,"")</f>
        <v/>
      </c>
      <c r="C75" t="str">
        <f>IF(A75&lt;&gt;"",'ENC Labels'!F91,"")</f>
        <v/>
      </c>
      <c r="D75" s="1" t="str">
        <f t="shared" si="1"/>
        <v/>
      </c>
    </row>
    <row r="76" spans="1:4" x14ac:dyDescent="0.2">
      <c r="A76" t="str">
        <f>IF('ENC Labels'!D92&lt;&gt;"",'ENC Labels'!D92,"")</f>
        <v/>
      </c>
      <c r="B76" s="2" t="str">
        <f>IF(A76&lt;&gt;"",'ENC Labels'!E92,"")</f>
        <v/>
      </c>
      <c r="C76" t="str">
        <f>IF(A76&lt;&gt;"",'ENC Labels'!F92,"")</f>
        <v/>
      </c>
      <c r="D76" s="1" t="str">
        <f t="shared" si="1"/>
        <v/>
      </c>
    </row>
    <row r="77" spans="1:4" x14ac:dyDescent="0.2">
      <c r="A77" t="str">
        <f>IF('ENC Labels'!D93&lt;&gt;"",'ENC Labels'!D93,"")</f>
        <v/>
      </c>
      <c r="B77" s="2" t="str">
        <f>IF(A77&lt;&gt;"",'ENC Labels'!E93,"")</f>
        <v/>
      </c>
      <c r="C77" t="str">
        <f>IF(A77&lt;&gt;"",'ENC Labels'!F93,"")</f>
        <v/>
      </c>
      <c r="D77" s="1" t="str">
        <f t="shared" si="1"/>
        <v/>
      </c>
    </row>
    <row r="78" spans="1:4" x14ac:dyDescent="0.2">
      <c r="A78" t="str">
        <f>IF('ENC Labels'!D94&lt;&gt;"",'ENC Labels'!D94,"")</f>
        <v/>
      </c>
      <c r="B78" s="2" t="str">
        <f>IF(A78&lt;&gt;"",'ENC Labels'!E94,"")</f>
        <v/>
      </c>
      <c r="C78" t="str">
        <f>IF(A78&lt;&gt;"",'ENC Labels'!F94,"")</f>
        <v/>
      </c>
      <c r="D78" s="1" t="str">
        <f t="shared" si="1"/>
        <v/>
      </c>
    </row>
    <row r="79" spans="1:4" x14ac:dyDescent="0.2">
      <c r="A79" t="str">
        <f>IF('ENC Labels'!D95&lt;&gt;"",'ENC Labels'!D95,"")</f>
        <v/>
      </c>
      <c r="B79" s="2" t="str">
        <f>IF(A79&lt;&gt;"",'ENC Labels'!E95,"")</f>
        <v/>
      </c>
      <c r="C79" t="str">
        <f>IF(A79&lt;&gt;"",'ENC Labels'!F95,"")</f>
        <v/>
      </c>
      <c r="D79" s="1" t="str">
        <f t="shared" si="1"/>
        <v/>
      </c>
    </row>
    <row r="80" spans="1:4" x14ac:dyDescent="0.2">
      <c r="A80" t="str">
        <f>IF('ENC Labels'!D96&lt;&gt;"",'ENC Labels'!D96,"")</f>
        <v/>
      </c>
      <c r="B80" s="2" t="str">
        <f>IF(A80&lt;&gt;"",'ENC Labels'!E96,"")</f>
        <v/>
      </c>
      <c r="C80" t="str">
        <f>IF(A80&lt;&gt;"",'ENC Labels'!F96,"")</f>
        <v/>
      </c>
      <c r="D80" s="1" t="str">
        <f t="shared" si="1"/>
        <v/>
      </c>
    </row>
    <row r="81" spans="1:4" x14ac:dyDescent="0.2">
      <c r="A81" t="str">
        <f>IF('ENC Labels'!D97&lt;&gt;"",'ENC Labels'!D97,"")</f>
        <v/>
      </c>
      <c r="B81" s="2" t="str">
        <f>IF(A81&lt;&gt;"",'ENC Labels'!E97,"")</f>
        <v/>
      </c>
      <c r="C81" t="str">
        <f>IF(A81&lt;&gt;"",'ENC Labels'!F97,"")</f>
        <v/>
      </c>
      <c r="D81" s="1" t="str">
        <f t="shared" si="1"/>
        <v/>
      </c>
    </row>
    <row r="82" spans="1:4" x14ac:dyDescent="0.2">
      <c r="A82" t="str">
        <f>IF('ENC Labels'!D98&lt;&gt;"",'ENC Labels'!D98,"")</f>
        <v/>
      </c>
      <c r="B82" s="2" t="str">
        <f>IF(A82&lt;&gt;"",'ENC Labels'!E98,"")</f>
        <v/>
      </c>
      <c r="C82" t="str">
        <f>IF(A82&lt;&gt;"",'ENC Labels'!F98,"")</f>
        <v/>
      </c>
      <c r="D82" s="1" t="str">
        <f t="shared" si="1"/>
        <v/>
      </c>
    </row>
    <row r="83" spans="1:4" x14ac:dyDescent="0.2">
      <c r="A83" t="str">
        <f>IF('ENC Labels'!D99&lt;&gt;"",'ENC Labels'!D99,"")</f>
        <v/>
      </c>
      <c r="B83" s="2" t="str">
        <f>IF(A83&lt;&gt;"",'ENC Labels'!E99,"")</f>
        <v/>
      </c>
      <c r="C83" t="str">
        <f>IF(A83&lt;&gt;"",'ENC Labels'!F99,"")</f>
        <v/>
      </c>
      <c r="D83" s="1" t="str">
        <f t="shared" si="1"/>
        <v/>
      </c>
    </row>
    <row r="84" spans="1:4" x14ac:dyDescent="0.2">
      <c r="A84" t="str">
        <f>IF('ENC Labels'!D100&lt;&gt;"",'ENC Labels'!D100,"")</f>
        <v/>
      </c>
      <c r="B84" s="2" t="str">
        <f>IF(A84&lt;&gt;"",'ENC Labels'!E100,"")</f>
        <v/>
      </c>
      <c r="C84" t="str">
        <f>IF(A84&lt;&gt;"",'ENC Labels'!F100,"")</f>
        <v/>
      </c>
      <c r="D84" s="1" t="str">
        <f t="shared" si="1"/>
        <v/>
      </c>
    </row>
    <row r="85" spans="1:4" x14ac:dyDescent="0.2">
      <c r="A85" t="str">
        <f>IF('ENC Labels'!D101&lt;&gt;"",'ENC Labels'!D101,"")</f>
        <v/>
      </c>
      <c r="B85" s="2" t="str">
        <f>IF(A85&lt;&gt;"",'ENC Labels'!E101,"")</f>
        <v/>
      </c>
      <c r="C85" t="str">
        <f>IF(A85&lt;&gt;"",'ENC Labels'!F101,"")</f>
        <v/>
      </c>
      <c r="D85" s="1" t="str">
        <f t="shared" si="1"/>
        <v/>
      </c>
    </row>
    <row r="86" spans="1:4" x14ac:dyDescent="0.2">
      <c r="A86" t="str">
        <f>IF('ENC Labels'!D102&lt;&gt;"",'ENC Labels'!D102,"")</f>
        <v/>
      </c>
      <c r="B86" s="2" t="str">
        <f>IF(A86&lt;&gt;"",'ENC Labels'!E102,"")</f>
        <v/>
      </c>
      <c r="C86" t="str">
        <f>IF(A86&lt;&gt;"",'ENC Labels'!F102,"")</f>
        <v/>
      </c>
      <c r="D86" s="1" t="str">
        <f t="shared" si="1"/>
        <v/>
      </c>
    </row>
    <row r="87" spans="1:4" x14ac:dyDescent="0.2">
      <c r="A87" t="str">
        <f>IF('ENC Labels'!D103&lt;&gt;"",'ENC Labels'!D103,"")</f>
        <v/>
      </c>
      <c r="B87" s="2" t="str">
        <f>IF(A87&lt;&gt;"",'ENC Labels'!E103,"")</f>
        <v/>
      </c>
      <c r="C87" t="str">
        <f>IF(A87&lt;&gt;"",'ENC Labels'!F103,"")</f>
        <v/>
      </c>
      <c r="D87" s="1" t="str">
        <f t="shared" si="1"/>
        <v/>
      </c>
    </row>
    <row r="88" spans="1:4" x14ac:dyDescent="0.2">
      <c r="A88" t="str">
        <f>IF('ENC Labels'!D104&lt;&gt;"",'ENC Labels'!D104,"")</f>
        <v/>
      </c>
      <c r="B88" s="2" t="str">
        <f>IF(A88&lt;&gt;"",'ENC Labels'!E104,"")</f>
        <v/>
      </c>
      <c r="C88" t="str">
        <f>IF(A88&lt;&gt;"",'ENC Labels'!F104,"")</f>
        <v/>
      </c>
      <c r="D88" s="1" t="str">
        <f t="shared" si="1"/>
        <v/>
      </c>
    </row>
    <row r="89" spans="1:4" x14ac:dyDescent="0.2">
      <c r="A89" t="str">
        <f>IF('ENC Labels'!D105&lt;&gt;"",'ENC Labels'!D105,"")</f>
        <v/>
      </c>
      <c r="B89" s="2" t="str">
        <f>IF(A89&lt;&gt;"",'ENC Labels'!E105,"")</f>
        <v/>
      </c>
      <c r="C89" t="str">
        <f>IF(A89&lt;&gt;"",'ENC Labels'!F105,"")</f>
        <v/>
      </c>
      <c r="D89" s="1" t="str">
        <f t="shared" si="1"/>
        <v/>
      </c>
    </row>
    <row r="90" spans="1:4" x14ac:dyDescent="0.2">
      <c r="A90" t="str">
        <f>IF('ENC Labels'!D106&lt;&gt;"",'ENC Labels'!D106,"")</f>
        <v/>
      </c>
      <c r="B90" s="2" t="str">
        <f>IF(A90&lt;&gt;"",'ENC Labels'!E106,"")</f>
        <v/>
      </c>
      <c r="C90" t="str">
        <f>IF(A90&lt;&gt;"",'ENC Labels'!F106,"")</f>
        <v/>
      </c>
      <c r="D90" s="1" t="str">
        <f t="shared" si="1"/>
        <v/>
      </c>
    </row>
    <row r="91" spans="1:4" x14ac:dyDescent="0.2">
      <c r="A91" t="str">
        <f>IF('ENC Labels'!D107&lt;&gt;"",'ENC Labels'!D107,"")</f>
        <v/>
      </c>
      <c r="B91" s="2" t="str">
        <f>IF(A91&lt;&gt;"",'ENC Labels'!E107,"")</f>
        <v/>
      </c>
      <c r="C91" t="str">
        <f>IF(A91&lt;&gt;"",'ENC Labels'!F107,"")</f>
        <v/>
      </c>
      <c r="D91" s="1" t="str">
        <f t="shared" si="1"/>
        <v/>
      </c>
    </row>
    <row r="92" spans="1:4" x14ac:dyDescent="0.2">
      <c r="A92" t="str">
        <f>IF('ENC Labels'!D108&lt;&gt;"",'ENC Labels'!D108,"")</f>
        <v/>
      </c>
      <c r="B92" s="2" t="str">
        <f>IF(A92&lt;&gt;"",'ENC Labels'!E108,"")</f>
        <v/>
      </c>
      <c r="C92" t="str">
        <f>IF(A92&lt;&gt;"",'ENC Labels'!F108,"")</f>
        <v/>
      </c>
      <c r="D92" s="1" t="str">
        <f t="shared" si="1"/>
        <v/>
      </c>
    </row>
    <row r="93" spans="1:4" x14ac:dyDescent="0.2">
      <c r="A93" t="str">
        <f>IF('ENC Labels'!D109&lt;&gt;"",'ENC Labels'!D109,"")</f>
        <v/>
      </c>
      <c r="B93" s="2" t="str">
        <f>IF(A93&lt;&gt;"",'ENC Labels'!E109,"")</f>
        <v/>
      </c>
      <c r="C93" t="str">
        <f>IF(A93&lt;&gt;"",'ENC Labels'!F109,"")</f>
        <v/>
      </c>
      <c r="D93" s="1" t="str">
        <f t="shared" si="1"/>
        <v/>
      </c>
    </row>
    <row r="94" spans="1:4" x14ac:dyDescent="0.2">
      <c r="A94" t="str">
        <f>IF('ENC Labels'!D110&lt;&gt;"",'ENC Labels'!D110,"")</f>
        <v/>
      </c>
      <c r="B94" s="2" t="str">
        <f>IF(A94&lt;&gt;"",'ENC Labels'!E110,"")</f>
        <v/>
      </c>
      <c r="C94" t="str">
        <f>IF(A94&lt;&gt;"",'ENC Labels'!F110,"")</f>
        <v/>
      </c>
      <c r="D94" s="1" t="str">
        <f t="shared" si="1"/>
        <v/>
      </c>
    </row>
    <row r="95" spans="1:4" x14ac:dyDescent="0.2">
      <c r="A95" t="str">
        <f>IF('ENC Labels'!D111&lt;&gt;"",'ENC Labels'!D111,"")</f>
        <v/>
      </c>
      <c r="B95" s="2" t="str">
        <f>IF(A95&lt;&gt;"",'ENC Labels'!E111,"")</f>
        <v/>
      </c>
      <c r="C95" t="str">
        <f>IF(A95&lt;&gt;"",'ENC Labels'!F111,"")</f>
        <v/>
      </c>
      <c r="D95" s="1" t="str">
        <f t="shared" si="1"/>
        <v/>
      </c>
    </row>
    <row r="96" spans="1:4" x14ac:dyDescent="0.2">
      <c r="A96" t="str">
        <f>IF('ENC Labels'!D112&lt;&gt;"",'ENC Labels'!D112,"")</f>
        <v/>
      </c>
      <c r="B96" s="2" t="str">
        <f>IF(A96&lt;&gt;"",'ENC Labels'!E112,"")</f>
        <v/>
      </c>
      <c r="C96" t="str">
        <f>IF(A96&lt;&gt;"",'ENC Labels'!F112,"")</f>
        <v/>
      </c>
      <c r="D96" s="1" t="str">
        <f t="shared" si="1"/>
        <v/>
      </c>
    </row>
    <row r="97" spans="1:4" x14ac:dyDescent="0.2">
      <c r="A97" t="str">
        <f>IF('ENC Labels'!D113&lt;&gt;"",'ENC Labels'!D113,"")</f>
        <v/>
      </c>
      <c r="B97" s="2" t="str">
        <f>IF(A97&lt;&gt;"",'ENC Labels'!E113,"")</f>
        <v/>
      </c>
      <c r="C97" t="str">
        <f>IF(A97&lt;&gt;"",'ENC Labels'!F113,"")</f>
        <v/>
      </c>
      <c r="D97" s="1" t="str">
        <f t="shared" si="1"/>
        <v/>
      </c>
    </row>
    <row r="98" spans="1:4" x14ac:dyDescent="0.2">
      <c r="A98" t="str">
        <f>IF('ENC Labels'!D114&lt;&gt;"",'ENC Labels'!D114,"")</f>
        <v/>
      </c>
      <c r="B98" s="2" t="str">
        <f>IF(A98&lt;&gt;"",'ENC Labels'!E114,"")</f>
        <v/>
      </c>
      <c r="C98" t="str">
        <f>IF(A98&lt;&gt;"",'ENC Labels'!F114,"")</f>
        <v/>
      </c>
      <c r="D98" s="1" t="str">
        <f t="shared" si="1"/>
        <v/>
      </c>
    </row>
    <row r="99" spans="1:4" x14ac:dyDescent="0.2">
      <c r="A99" t="str">
        <f>IF('ENC Labels'!D115&lt;&gt;"",'ENC Labels'!D115,"")</f>
        <v/>
      </c>
      <c r="B99" s="2" t="str">
        <f>IF(A99&lt;&gt;"",'ENC Labels'!E115,"")</f>
        <v/>
      </c>
      <c r="C99" t="str">
        <f>IF(A99&lt;&gt;"",'ENC Labels'!F115,"")</f>
        <v/>
      </c>
      <c r="D99" s="1" t="str">
        <f t="shared" si="1"/>
        <v/>
      </c>
    </row>
    <row r="100" spans="1:4" x14ac:dyDescent="0.2">
      <c r="A100" t="str">
        <f>IF('ENC Labels'!D116&lt;&gt;"",'ENC Labels'!D116,"")</f>
        <v/>
      </c>
      <c r="B100" s="2" t="str">
        <f>IF(A100&lt;&gt;"",'ENC Labels'!E116,"")</f>
        <v/>
      </c>
      <c r="C100" t="str">
        <f>IF(A100&lt;&gt;"",'ENC Labels'!F116,"")</f>
        <v/>
      </c>
      <c r="D100" s="1" t="str">
        <f t="shared" si="1"/>
        <v/>
      </c>
    </row>
    <row r="101" spans="1:4" x14ac:dyDescent="0.2">
      <c r="A101" t="str">
        <f>IF('ENC Labels'!D117&lt;&gt;"",'ENC Labels'!D117,"")</f>
        <v/>
      </c>
      <c r="B101" s="2" t="str">
        <f>IF(A101&lt;&gt;"",'ENC Labels'!E117,"")</f>
        <v/>
      </c>
      <c r="C101" t="str">
        <f>IF(A101&lt;&gt;"",'ENC Labels'!F117,"")</f>
        <v/>
      </c>
      <c r="D101" s="1" t="str">
        <f t="shared" si="1"/>
        <v/>
      </c>
    </row>
    <row r="102" spans="1:4" x14ac:dyDescent="0.2">
      <c r="A102" t="str">
        <f>IF('ENC Labels'!D118&lt;&gt;"",'ENC Labels'!D118,"")</f>
        <v/>
      </c>
      <c r="B102" s="2" t="str">
        <f>IF(A102&lt;&gt;"",'ENC Labels'!E118,"")</f>
        <v/>
      </c>
      <c r="C102" t="str">
        <f>IF(A102&lt;&gt;"",'ENC Labels'!F118,"")</f>
        <v/>
      </c>
      <c r="D102" s="1" t="str">
        <f t="shared" si="1"/>
        <v/>
      </c>
    </row>
    <row r="103" spans="1:4" x14ac:dyDescent="0.2">
      <c r="A103" t="str">
        <f>IF('ENC Labels'!D119&lt;&gt;"",'ENC Labels'!D119,"")</f>
        <v/>
      </c>
      <c r="B103" s="2" t="str">
        <f>IF(A103&lt;&gt;"",'ENC Labels'!E119,"")</f>
        <v/>
      </c>
      <c r="C103" t="str">
        <f>IF(A103&lt;&gt;"",'ENC Labels'!F119,"")</f>
        <v/>
      </c>
      <c r="D103" s="1" t="str">
        <f t="shared" si="1"/>
        <v/>
      </c>
    </row>
    <row r="104" spans="1:4" x14ac:dyDescent="0.2">
      <c r="A104" t="str">
        <f>IF('ENC Labels'!D120&lt;&gt;"",'ENC Labels'!D120,"")</f>
        <v/>
      </c>
      <c r="B104" s="2" t="str">
        <f>IF(A104&lt;&gt;"",'ENC Labels'!E120,"")</f>
        <v/>
      </c>
      <c r="C104" t="str">
        <f>IF(A104&lt;&gt;"",'ENC Labels'!F120,"")</f>
        <v/>
      </c>
      <c r="D104" s="1" t="str">
        <f t="shared" si="1"/>
        <v/>
      </c>
    </row>
    <row r="105" spans="1:4" x14ac:dyDescent="0.2">
      <c r="A105" t="str">
        <f>IF('ENC Labels'!D121&lt;&gt;"",'ENC Labels'!D121,"")</f>
        <v/>
      </c>
      <c r="B105" s="2" t="str">
        <f>IF(A105&lt;&gt;"",'ENC Labels'!E121,"")</f>
        <v/>
      </c>
      <c r="C105" t="str">
        <f>IF(A105&lt;&gt;"",'ENC Labels'!F121,"")</f>
        <v/>
      </c>
      <c r="D105" s="1" t="str">
        <f t="shared" si="1"/>
        <v/>
      </c>
    </row>
    <row r="106" spans="1:4" x14ac:dyDescent="0.2">
      <c r="A106" t="str">
        <f>IF('ENC Labels'!D122&lt;&gt;"",'ENC Labels'!D122,"")</f>
        <v/>
      </c>
      <c r="B106" s="2" t="str">
        <f>IF(A106&lt;&gt;"",'ENC Labels'!E122,"")</f>
        <v/>
      </c>
      <c r="C106" t="str">
        <f>IF(A106&lt;&gt;"",'ENC Labels'!F122,"")</f>
        <v/>
      </c>
      <c r="D106" s="1" t="str">
        <f t="shared" si="1"/>
        <v/>
      </c>
    </row>
    <row r="107" spans="1:4" x14ac:dyDescent="0.2">
      <c r="A107" t="str">
        <f>IF('ENC Labels'!D123&lt;&gt;"",'ENC Labels'!D123,"")</f>
        <v/>
      </c>
      <c r="B107" s="2" t="str">
        <f>IF(A107&lt;&gt;"",'ENC Labels'!E123,"")</f>
        <v/>
      </c>
      <c r="C107" t="str">
        <f>IF(A107&lt;&gt;"",'ENC Labels'!F123,"")</f>
        <v/>
      </c>
      <c r="D107" s="1" t="str">
        <f t="shared" si="1"/>
        <v/>
      </c>
    </row>
    <row r="108" spans="1:4" x14ac:dyDescent="0.2">
      <c r="A108" t="str">
        <f>IF('ENC Labels'!D124&lt;&gt;"",'ENC Labels'!D124,"")</f>
        <v/>
      </c>
      <c r="B108" s="2" t="str">
        <f>IF(A108&lt;&gt;"",'ENC Labels'!E124,"")</f>
        <v/>
      </c>
      <c r="C108" t="str">
        <f>IF(A108&lt;&gt;"",'ENC Labels'!F124,"")</f>
        <v/>
      </c>
      <c r="D108" s="1" t="str">
        <f t="shared" si="1"/>
        <v/>
      </c>
    </row>
    <row r="109" spans="1:4" x14ac:dyDescent="0.2">
      <c r="A109" t="str">
        <f>IF('ENC Labels'!D125&lt;&gt;"",'ENC Labels'!D125,"")</f>
        <v/>
      </c>
      <c r="B109" s="2" t="str">
        <f>IF(A109&lt;&gt;"",'ENC Labels'!E125,"")</f>
        <v/>
      </c>
      <c r="C109" t="str">
        <f>IF(A109&lt;&gt;"",'ENC Labels'!F125,"")</f>
        <v/>
      </c>
      <c r="D109" s="1" t="str">
        <f t="shared" si="1"/>
        <v/>
      </c>
    </row>
    <row r="110" spans="1:4" x14ac:dyDescent="0.2">
      <c r="A110" t="str">
        <f>IF('ENC Labels'!D126&lt;&gt;"",'ENC Labels'!D126,"")</f>
        <v/>
      </c>
      <c r="B110" s="2" t="str">
        <f>IF(A110&lt;&gt;"",'ENC Labels'!E126,"")</f>
        <v/>
      </c>
      <c r="C110" t="str">
        <f>IF(A110&lt;&gt;"",'ENC Labels'!F126,"")</f>
        <v/>
      </c>
      <c r="D110" s="1" t="str">
        <f t="shared" si="1"/>
        <v/>
      </c>
    </row>
    <row r="111" spans="1:4" x14ac:dyDescent="0.2">
      <c r="A111" t="str">
        <f>IF('ENC Labels'!D127&lt;&gt;"",'ENC Labels'!D127,"")</f>
        <v/>
      </c>
      <c r="B111" s="2" t="str">
        <f>IF(A111&lt;&gt;"",'ENC Labels'!E127,"")</f>
        <v/>
      </c>
      <c r="C111" t="str">
        <f>IF(A111&lt;&gt;"",'ENC Labels'!F127,"")</f>
        <v/>
      </c>
      <c r="D111" s="1" t="str">
        <f t="shared" si="1"/>
        <v/>
      </c>
    </row>
    <row r="112" spans="1:4" x14ac:dyDescent="0.2">
      <c r="A112" t="str">
        <f>IF('ENC Labels'!D128&lt;&gt;"",'ENC Labels'!D128,"")</f>
        <v/>
      </c>
      <c r="B112" s="2" t="str">
        <f>IF(A112&lt;&gt;"",'ENC Labels'!E128,"")</f>
        <v/>
      </c>
      <c r="C112" t="str">
        <f>IF(A112&lt;&gt;"",'ENC Labels'!F128,"")</f>
        <v/>
      </c>
      <c r="D112" s="1" t="str">
        <f t="shared" si="1"/>
        <v/>
      </c>
    </row>
    <row r="113" spans="1:4" x14ac:dyDescent="0.2">
      <c r="A113" t="str">
        <f>IF('ENC Labels'!D129&lt;&gt;"",'ENC Labels'!D129,"")</f>
        <v/>
      </c>
      <c r="B113" s="2" t="str">
        <f>IF(A113&lt;&gt;"",'ENC Labels'!E129,"")</f>
        <v/>
      </c>
      <c r="C113" t="str">
        <f>IF(A113&lt;&gt;"",'ENC Labels'!F129,"")</f>
        <v/>
      </c>
      <c r="D113" s="1" t="str">
        <f t="shared" si="1"/>
        <v/>
      </c>
    </row>
    <row r="114" spans="1:4" x14ac:dyDescent="0.2">
      <c r="A114" t="str">
        <f>IF('ENC Labels'!D130&lt;&gt;"",'ENC Labels'!D130,"")</f>
        <v/>
      </c>
      <c r="B114" s="2" t="str">
        <f>IF(A114&lt;&gt;"",'ENC Labels'!E130,"")</f>
        <v/>
      </c>
      <c r="C114" t="str">
        <f>IF(A114&lt;&gt;"",'ENC Labels'!F130,"")</f>
        <v/>
      </c>
      <c r="D114" s="1" t="str">
        <f t="shared" si="1"/>
        <v/>
      </c>
    </row>
    <row r="115" spans="1:4" x14ac:dyDescent="0.2">
      <c r="A115" t="str">
        <f>IF('ENC Labels'!D131&lt;&gt;"",'ENC Labels'!D131,"")</f>
        <v/>
      </c>
      <c r="B115" s="2" t="str">
        <f>IF(A115&lt;&gt;"",'ENC Labels'!E131,"")</f>
        <v/>
      </c>
      <c r="C115" t="str">
        <f>IF(A115&lt;&gt;"",'ENC Labels'!F131,"")</f>
        <v/>
      </c>
      <c r="D115" s="1" t="str">
        <f t="shared" si="1"/>
        <v/>
      </c>
    </row>
    <row r="116" spans="1:4" x14ac:dyDescent="0.2">
      <c r="A116" t="str">
        <f>IF('ENC Labels'!D132&lt;&gt;"",'ENC Labels'!D132,"")</f>
        <v/>
      </c>
      <c r="B116" s="2" t="str">
        <f>IF(A116&lt;&gt;"",'ENC Labels'!E132,"")</f>
        <v/>
      </c>
      <c r="C116" t="str">
        <f>IF(A116&lt;&gt;"",'ENC Labels'!F132,"")</f>
        <v/>
      </c>
      <c r="D116" s="1" t="str">
        <f t="shared" si="1"/>
        <v/>
      </c>
    </row>
    <row r="117" spans="1:4" x14ac:dyDescent="0.2">
      <c r="A117" t="str">
        <f>IF('ENC Labels'!D133&lt;&gt;"",'ENC Labels'!D133,"")</f>
        <v/>
      </c>
      <c r="B117" s="2" t="str">
        <f>IF(A117&lt;&gt;"",'ENC Labels'!E133,"")</f>
        <v/>
      </c>
      <c r="C117" t="str">
        <f>IF(A117&lt;&gt;"",'ENC Labels'!F133,"")</f>
        <v/>
      </c>
      <c r="D117" s="1" t="str">
        <f t="shared" si="1"/>
        <v/>
      </c>
    </row>
    <row r="118" spans="1:4" x14ac:dyDescent="0.2">
      <c r="A118" t="str">
        <f>IF('ENC Labels'!D134&lt;&gt;"",'ENC Labels'!D134,"")</f>
        <v/>
      </c>
      <c r="B118" s="2" t="str">
        <f>IF(A118&lt;&gt;"",'ENC Labels'!E134,"")</f>
        <v/>
      </c>
      <c r="C118" t="str">
        <f>IF(A118&lt;&gt;"",'ENC Labels'!F134,"")</f>
        <v/>
      </c>
      <c r="D118" s="1" t="str">
        <f t="shared" si="1"/>
        <v/>
      </c>
    </row>
    <row r="119" spans="1:4" x14ac:dyDescent="0.2">
      <c r="A119" t="str">
        <f>IF('ENC Labels'!D135&lt;&gt;"",'ENC Labels'!D135,"")</f>
        <v/>
      </c>
      <c r="B119" s="2" t="str">
        <f>IF(A119&lt;&gt;"",'ENC Labels'!E135,"")</f>
        <v/>
      </c>
      <c r="C119" t="str">
        <f>IF(A119&lt;&gt;"",'ENC Labels'!F135,"")</f>
        <v/>
      </c>
      <c r="D119" s="1" t="str">
        <f t="shared" si="1"/>
        <v/>
      </c>
    </row>
    <row r="120" spans="1:4" x14ac:dyDescent="0.2">
      <c r="A120" t="str">
        <f>IF('ENC Labels'!D136&lt;&gt;"",'ENC Labels'!D136,"")</f>
        <v/>
      </c>
      <c r="B120" s="2" t="str">
        <f>IF(A120&lt;&gt;"",'ENC Labels'!E136,"")</f>
        <v/>
      </c>
      <c r="C120" t="str">
        <f>IF(A120&lt;&gt;"",'ENC Labels'!F136,"")</f>
        <v/>
      </c>
      <c r="D120" s="1" t="str">
        <f t="shared" si="1"/>
        <v/>
      </c>
    </row>
    <row r="121" spans="1:4" x14ac:dyDescent="0.2">
      <c r="A121" t="str">
        <f>IF('ENC Labels'!D137&lt;&gt;"",'ENC Labels'!D137,"")</f>
        <v/>
      </c>
      <c r="B121" s="2" t="str">
        <f>IF(A121&lt;&gt;"",'ENC Labels'!E137,"")</f>
        <v/>
      </c>
      <c r="C121" t="str">
        <f>IF(A121&lt;&gt;"",'ENC Labels'!F137,"")</f>
        <v/>
      </c>
      <c r="D121" s="1" t="str">
        <f t="shared" si="1"/>
        <v/>
      </c>
    </row>
    <row r="122" spans="1:4" x14ac:dyDescent="0.2">
      <c r="A122" t="str">
        <f>IF('ENC Labels'!D138&lt;&gt;"",'ENC Labels'!D138,"")</f>
        <v/>
      </c>
      <c r="B122" s="2" t="str">
        <f>IF(A122&lt;&gt;"",'ENC Labels'!E138,"")</f>
        <v/>
      </c>
      <c r="C122" t="str">
        <f>IF(A122&lt;&gt;"",'ENC Labels'!F138,"")</f>
        <v/>
      </c>
      <c r="D122" s="1" t="str">
        <f t="shared" si="1"/>
        <v/>
      </c>
    </row>
    <row r="123" spans="1:4" x14ac:dyDescent="0.2">
      <c r="A123" t="str">
        <f>IF('ENC Labels'!D139&lt;&gt;"",'ENC Labels'!D139,"")</f>
        <v/>
      </c>
      <c r="B123" s="2" t="str">
        <f>IF(A123&lt;&gt;"",'ENC Labels'!E139,"")</f>
        <v/>
      </c>
      <c r="C123" t="str">
        <f>IF(A123&lt;&gt;"",'ENC Labels'!F139,"")</f>
        <v/>
      </c>
      <c r="D123" s="1" t="str">
        <f t="shared" si="1"/>
        <v/>
      </c>
    </row>
    <row r="124" spans="1:4" x14ac:dyDescent="0.2">
      <c r="A124" t="str">
        <f>IF('ENC Labels'!D140&lt;&gt;"",'ENC Labels'!D140,"")</f>
        <v/>
      </c>
      <c r="B124" s="2" t="str">
        <f>IF(A124&lt;&gt;"",'ENC Labels'!E140,"")</f>
        <v/>
      </c>
      <c r="C124" t="str">
        <f>IF(A124&lt;&gt;"",'ENC Labels'!F140,"")</f>
        <v/>
      </c>
      <c r="D124" s="1" t="str">
        <f t="shared" si="1"/>
        <v/>
      </c>
    </row>
    <row r="125" spans="1:4" x14ac:dyDescent="0.2">
      <c r="A125" t="str">
        <f>IF('ENC Labels'!D141&lt;&gt;"",'ENC Labels'!D141,"")</f>
        <v/>
      </c>
      <c r="B125" s="2" t="str">
        <f>IF(A125&lt;&gt;"",'ENC Labels'!E141,"")</f>
        <v/>
      </c>
      <c r="C125" t="str">
        <f>IF(A125&lt;&gt;"",'ENC Labels'!F141,"")</f>
        <v/>
      </c>
      <c r="D125" s="1" t="str">
        <f t="shared" ref="D125:D160" si="2">IF(A125&lt;&gt;"",1,"")</f>
        <v/>
      </c>
    </row>
    <row r="126" spans="1:4" x14ac:dyDescent="0.2">
      <c r="A126" t="str">
        <f>IF('ENC Labels'!D142&lt;&gt;"",'ENC Labels'!D142,"")</f>
        <v/>
      </c>
      <c r="B126" s="2" t="str">
        <f>IF(A126&lt;&gt;"",'ENC Labels'!E142,"")</f>
        <v/>
      </c>
      <c r="C126" t="str">
        <f>IF(A126&lt;&gt;"",'ENC Labels'!F142,"")</f>
        <v/>
      </c>
      <c r="D126" s="1" t="str">
        <f t="shared" si="2"/>
        <v/>
      </c>
    </row>
    <row r="127" spans="1:4" x14ac:dyDescent="0.2">
      <c r="A127" t="str">
        <f>IF('ENC Labels'!D143&lt;&gt;"",'ENC Labels'!D143,"")</f>
        <v/>
      </c>
      <c r="B127" s="2" t="str">
        <f>IF(A127&lt;&gt;"",'ENC Labels'!E143,"")</f>
        <v/>
      </c>
      <c r="C127" t="str">
        <f>IF(A127&lt;&gt;"",'ENC Labels'!F143,"")</f>
        <v/>
      </c>
      <c r="D127" s="1" t="str">
        <f t="shared" si="2"/>
        <v/>
      </c>
    </row>
    <row r="128" spans="1:4" x14ac:dyDescent="0.2">
      <c r="A128" t="str">
        <f>IF('ENC Labels'!D144&lt;&gt;"",'ENC Labels'!D144,"")</f>
        <v/>
      </c>
      <c r="B128" s="2" t="str">
        <f>IF(A128&lt;&gt;"",'ENC Labels'!E144,"")</f>
        <v/>
      </c>
      <c r="C128" t="str">
        <f>IF(A128&lt;&gt;"",'ENC Labels'!F144,"")</f>
        <v/>
      </c>
      <c r="D128" s="1" t="str">
        <f t="shared" si="2"/>
        <v/>
      </c>
    </row>
    <row r="129" spans="1:4" x14ac:dyDescent="0.2">
      <c r="A129" t="str">
        <f>IF('ENC Labels'!D145&lt;&gt;"",'ENC Labels'!D145,"")</f>
        <v/>
      </c>
      <c r="B129" s="2" t="str">
        <f>IF(A129&lt;&gt;"",'ENC Labels'!E145,"")</f>
        <v/>
      </c>
      <c r="C129" t="str">
        <f>IF(A129&lt;&gt;"",'ENC Labels'!F145,"")</f>
        <v/>
      </c>
      <c r="D129" s="1" t="str">
        <f t="shared" si="2"/>
        <v/>
      </c>
    </row>
    <row r="130" spans="1:4" x14ac:dyDescent="0.2">
      <c r="A130" t="str">
        <f>IF('ENC Labels'!D146&lt;&gt;"",'ENC Labels'!D146,"")</f>
        <v/>
      </c>
      <c r="B130" s="2" t="str">
        <f>IF(A130&lt;&gt;"",'ENC Labels'!E146,"")</f>
        <v/>
      </c>
      <c r="C130" t="str">
        <f>IF(A130&lt;&gt;"",'ENC Labels'!F146,"")</f>
        <v/>
      </c>
      <c r="D130" s="1" t="str">
        <f t="shared" si="2"/>
        <v/>
      </c>
    </row>
    <row r="131" spans="1:4" x14ac:dyDescent="0.2">
      <c r="A131" t="str">
        <f>IF('ENC Labels'!D147&lt;&gt;"",'ENC Labels'!D147,"")</f>
        <v/>
      </c>
      <c r="B131" s="2" t="str">
        <f>IF(A131&lt;&gt;"",'ENC Labels'!E147,"")</f>
        <v/>
      </c>
      <c r="C131" t="str">
        <f>IF(A131&lt;&gt;"",'ENC Labels'!F147,"")</f>
        <v/>
      </c>
      <c r="D131" s="1" t="str">
        <f t="shared" si="2"/>
        <v/>
      </c>
    </row>
    <row r="132" spans="1:4" x14ac:dyDescent="0.2">
      <c r="A132" t="str">
        <f>IF('ENC Labels'!D148&lt;&gt;"",'ENC Labels'!D148,"")</f>
        <v/>
      </c>
      <c r="B132" s="2" t="str">
        <f>IF(A132&lt;&gt;"",'ENC Labels'!E148,"")</f>
        <v/>
      </c>
      <c r="C132" t="str">
        <f>IF(A132&lt;&gt;"",'ENC Labels'!F148,"")</f>
        <v/>
      </c>
      <c r="D132" s="1" t="str">
        <f t="shared" si="2"/>
        <v/>
      </c>
    </row>
    <row r="133" spans="1:4" x14ac:dyDescent="0.2">
      <c r="A133" t="str">
        <f>IF('ENC Labels'!D149&lt;&gt;"",'ENC Labels'!D149,"")</f>
        <v/>
      </c>
      <c r="B133" s="2" t="str">
        <f>IF(A133&lt;&gt;"",'ENC Labels'!E149,"")</f>
        <v/>
      </c>
      <c r="C133" t="str">
        <f>IF(A133&lt;&gt;"",'ENC Labels'!F149,"")</f>
        <v/>
      </c>
      <c r="D133" s="1" t="str">
        <f t="shared" si="2"/>
        <v/>
      </c>
    </row>
    <row r="134" spans="1:4" x14ac:dyDescent="0.2">
      <c r="A134" t="str">
        <f>IF('ENC Labels'!D150&lt;&gt;"",'ENC Labels'!D150,"")</f>
        <v/>
      </c>
      <c r="B134" s="2" t="str">
        <f>IF(A134&lt;&gt;"",'ENC Labels'!E150,"")</f>
        <v/>
      </c>
      <c r="C134" t="str">
        <f>IF(A134&lt;&gt;"",'ENC Labels'!F150,"")</f>
        <v/>
      </c>
      <c r="D134" s="1" t="str">
        <f t="shared" si="2"/>
        <v/>
      </c>
    </row>
    <row r="135" spans="1:4" x14ac:dyDescent="0.2">
      <c r="A135" t="str">
        <f>IF('ENC Labels'!D151&lt;&gt;"",'ENC Labels'!D151,"")</f>
        <v/>
      </c>
      <c r="B135" s="2" t="str">
        <f>IF(A135&lt;&gt;"",'ENC Labels'!E151,"")</f>
        <v/>
      </c>
      <c r="C135" t="str">
        <f>IF(A135&lt;&gt;"",'ENC Labels'!F151,"")</f>
        <v/>
      </c>
      <c r="D135" s="1" t="str">
        <f t="shared" si="2"/>
        <v/>
      </c>
    </row>
    <row r="136" spans="1:4" x14ac:dyDescent="0.2">
      <c r="A136" t="str">
        <f>IF('ENC Labels'!D152&lt;&gt;"",'ENC Labels'!D152,"")</f>
        <v/>
      </c>
      <c r="B136" s="2" t="str">
        <f>IF(A136&lt;&gt;"",'ENC Labels'!E152,"")</f>
        <v/>
      </c>
      <c r="C136" t="str">
        <f>IF(A136&lt;&gt;"",'ENC Labels'!F152,"")</f>
        <v/>
      </c>
      <c r="D136" s="1" t="str">
        <f t="shared" si="2"/>
        <v/>
      </c>
    </row>
    <row r="137" spans="1:4" x14ac:dyDescent="0.2">
      <c r="A137" t="str">
        <f>IF('ENC Labels'!D153&lt;&gt;"",'ENC Labels'!D153,"")</f>
        <v/>
      </c>
      <c r="B137" s="2" t="str">
        <f>IF(A137&lt;&gt;"",'ENC Labels'!E153,"")</f>
        <v/>
      </c>
      <c r="C137" t="str">
        <f>IF(A137&lt;&gt;"",'ENC Labels'!F153,"")</f>
        <v/>
      </c>
      <c r="D137" s="1" t="str">
        <f t="shared" si="2"/>
        <v/>
      </c>
    </row>
    <row r="138" spans="1:4" x14ac:dyDescent="0.2">
      <c r="A138" t="str">
        <f>IF('ENC Labels'!D154&lt;&gt;"",'ENC Labels'!D154,"")</f>
        <v/>
      </c>
      <c r="B138" s="2" t="str">
        <f>IF(A138&lt;&gt;"",'ENC Labels'!E154,"")</f>
        <v/>
      </c>
      <c r="C138" t="str">
        <f>IF(A138&lt;&gt;"",'ENC Labels'!F154,"")</f>
        <v/>
      </c>
      <c r="D138" s="1" t="str">
        <f t="shared" si="2"/>
        <v/>
      </c>
    </row>
    <row r="139" spans="1:4" x14ac:dyDescent="0.2">
      <c r="A139" t="str">
        <f>IF('ENC Labels'!D155&lt;&gt;"",'ENC Labels'!D155,"")</f>
        <v/>
      </c>
      <c r="B139" s="2" t="str">
        <f>IF(A139&lt;&gt;"",'ENC Labels'!E155,"")</f>
        <v/>
      </c>
      <c r="C139" t="str">
        <f>IF(A139&lt;&gt;"",'ENC Labels'!F155,"")</f>
        <v/>
      </c>
      <c r="D139" s="1" t="str">
        <f t="shared" si="2"/>
        <v/>
      </c>
    </row>
    <row r="140" spans="1:4" x14ac:dyDescent="0.2">
      <c r="A140" t="str">
        <f>IF('ENC Labels'!D156&lt;&gt;"",'ENC Labels'!D156,"")</f>
        <v/>
      </c>
      <c r="B140" s="2" t="str">
        <f>IF(A140&lt;&gt;"",'ENC Labels'!E156,"")</f>
        <v/>
      </c>
      <c r="C140" t="str">
        <f>IF(A140&lt;&gt;"",'ENC Labels'!F156,"")</f>
        <v/>
      </c>
      <c r="D140" s="1" t="str">
        <f t="shared" si="2"/>
        <v/>
      </c>
    </row>
    <row r="141" spans="1:4" x14ac:dyDescent="0.2">
      <c r="A141" t="str">
        <f>IF('ENC Labels'!D157&lt;&gt;"",'ENC Labels'!D157,"")</f>
        <v/>
      </c>
      <c r="B141" s="2" t="str">
        <f>IF(A141&lt;&gt;"",'ENC Labels'!E157,"")</f>
        <v/>
      </c>
      <c r="C141" t="str">
        <f>IF(A141&lt;&gt;"",'ENC Labels'!F157,"")</f>
        <v/>
      </c>
      <c r="D141" s="1" t="str">
        <f t="shared" si="2"/>
        <v/>
      </c>
    </row>
    <row r="142" spans="1:4" x14ac:dyDescent="0.2">
      <c r="A142" t="str">
        <f>IF('ENC Labels'!D158&lt;&gt;"",'ENC Labels'!D158,"")</f>
        <v/>
      </c>
      <c r="B142" s="2" t="str">
        <f>IF(A142&lt;&gt;"",'ENC Labels'!E158,"")</f>
        <v/>
      </c>
      <c r="C142" t="str">
        <f>IF(A142&lt;&gt;"",'ENC Labels'!F158,"")</f>
        <v/>
      </c>
      <c r="D142" s="1" t="str">
        <f t="shared" si="2"/>
        <v/>
      </c>
    </row>
    <row r="143" spans="1:4" x14ac:dyDescent="0.2">
      <c r="A143" t="str">
        <f>IF('ENC Labels'!D159&lt;&gt;"",'ENC Labels'!D159,"")</f>
        <v/>
      </c>
      <c r="B143" s="2" t="str">
        <f>IF(A143&lt;&gt;"",'ENC Labels'!E159,"")</f>
        <v/>
      </c>
      <c r="C143" t="str">
        <f>IF(A143&lt;&gt;"",'ENC Labels'!F159,"")</f>
        <v/>
      </c>
      <c r="D143" s="1" t="str">
        <f t="shared" si="2"/>
        <v/>
      </c>
    </row>
    <row r="144" spans="1:4" x14ac:dyDescent="0.2">
      <c r="A144" t="str">
        <f>IF('ENC Labels'!D160&lt;&gt;"",'ENC Labels'!D160,"")</f>
        <v/>
      </c>
      <c r="B144" s="2" t="str">
        <f>IF(A144&lt;&gt;"",'ENC Labels'!E160,"")</f>
        <v/>
      </c>
      <c r="C144" t="str">
        <f>IF(A144&lt;&gt;"",'ENC Labels'!F160,"")</f>
        <v/>
      </c>
      <c r="D144" s="1" t="str">
        <f t="shared" si="2"/>
        <v/>
      </c>
    </row>
    <row r="145" spans="1:4" x14ac:dyDescent="0.2">
      <c r="A145" t="str">
        <f>IF('ENC Labels'!D161&lt;&gt;"",'ENC Labels'!D161,"")</f>
        <v/>
      </c>
      <c r="B145" s="2" t="str">
        <f>IF(A145&lt;&gt;"",'ENC Labels'!E161,"")</f>
        <v/>
      </c>
      <c r="C145" t="str">
        <f>IF(A145&lt;&gt;"",'ENC Labels'!F161,"")</f>
        <v/>
      </c>
      <c r="D145" s="1" t="str">
        <f t="shared" si="2"/>
        <v/>
      </c>
    </row>
    <row r="146" spans="1:4" x14ac:dyDescent="0.2">
      <c r="A146" t="str">
        <f>IF('ENC Labels'!D162&lt;&gt;"",'ENC Labels'!D162,"")</f>
        <v/>
      </c>
      <c r="B146" s="2" t="str">
        <f>IF(A146&lt;&gt;"",'ENC Labels'!E162,"")</f>
        <v/>
      </c>
      <c r="C146" t="str">
        <f>IF(A146&lt;&gt;"",'ENC Labels'!F162,"")</f>
        <v/>
      </c>
      <c r="D146" s="1" t="str">
        <f t="shared" si="2"/>
        <v/>
      </c>
    </row>
    <row r="147" spans="1:4" x14ac:dyDescent="0.2">
      <c r="A147" t="str">
        <f>IF('ENC Labels'!D163&lt;&gt;"",'ENC Labels'!D163,"")</f>
        <v/>
      </c>
      <c r="B147" s="2" t="str">
        <f>IF(A147&lt;&gt;"",'ENC Labels'!E163,"")</f>
        <v/>
      </c>
      <c r="C147" t="str">
        <f>IF(A147&lt;&gt;"",'ENC Labels'!F163,"")</f>
        <v/>
      </c>
      <c r="D147" s="1" t="str">
        <f t="shared" si="2"/>
        <v/>
      </c>
    </row>
    <row r="148" spans="1:4" x14ac:dyDescent="0.2">
      <c r="A148" t="str">
        <f>IF('ENC Labels'!D164&lt;&gt;"",'ENC Labels'!D164,"")</f>
        <v/>
      </c>
      <c r="B148" s="2" t="str">
        <f>IF(A148&lt;&gt;"",'ENC Labels'!E164,"")</f>
        <v/>
      </c>
      <c r="C148" t="str">
        <f>IF(A148&lt;&gt;"",'ENC Labels'!F164,"")</f>
        <v/>
      </c>
      <c r="D148" s="1" t="str">
        <f t="shared" si="2"/>
        <v/>
      </c>
    </row>
    <row r="149" spans="1:4" x14ac:dyDescent="0.2">
      <c r="A149" t="str">
        <f>IF('ENC Labels'!D165&lt;&gt;"",'ENC Labels'!D165,"")</f>
        <v/>
      </c>
      <c r="B149" s="2" t="str">
        <f>IF(A149&lt;&gt;"",'ENC Labels'!E165,"")</f>
        <v/>
      </c>
      <c r="C149" t="str">
        <f>IF(A149&lt;&gt;"",'ENC Labels'!F165,"")</f>
        <v/>
      </c>
      <c r="D149" s="1" t="str">
        <f t="shared" si="2"/>
        <v/>
      </c>
    </row>
    <row r="150" spans="1:4" x14ac:dyDescent="0.2">
      <c r="A150" t="str">
        <f>IF('ENC Labels'!D166&lt;&gt;"",'ENC Labels'!D166,"")</f>
        <v/>
      </c>
      <c r="B150" s="2" t="str">
        <f>IF(A150&lt;&gt;"",'ENC Labels'!E166,"")</f>
        <v/>
      </c>
      <c r="C150" t="str">
        <f>IF(A150&lt;&gt;"",'ENC Labels'!F166,"")</f>
        <v/>
      </c>
      <c r="D150" s="1" t="str">
        <f t="shared" si="2"/>
        <v/>
      </c>
    </row>
    <row r="151" spans="1:4" x14ac:dyDescent="0.2">
      <c r="A151" t="str">
        <f>IF('ENC Labels'!D167&lt;&gt;"",'ENC Labels'!D167,"")</f>
        <v/>
      </c>
      <c r="B151" s="2" t="str">
        <f>IF(A151&lt;&gt;"",'ENC Labels'!E167,"")</f>
        <v/>
      </c>
      <c r="C151" t="str">
        <f>IF(A151&lt;&gt;"",'ENC Labels'!F167,"")</f>
        <v/>
      </c>
      <c r="D151" s="1" t="str">
        <f t="shared" si="2"/>
        <v/>
      </c>
    </row>
    <row r="152" spans="1:4" x14ac:dyDescent="0.2">
      <c r="A152" t="str">
        <f>IF('ENC Labels'!D168&lt;&gt;"",'ENC Labels'!D168,"")</f>
        <v/>
      </c>
      <c r="B152" s="2" t="str">
        <f>IF(A152&lt;&gt;"",'ENC Labels'!E168,"")</f>
        <v/>
      </c>
      <c r="C152" t="str">
        <f>IF(A152&lt;&gt;"",'ENC Labels'!F168,"")</f>
        <v/>
      </c>
      <c r="D152" s="1" t="str">
        <f t="shared" si="2"/>
        <v/>
      </c>
    </row>
    <row r="153" spans="1:4" x14ac:dyDescent="0.2">
      <c r="A153" t="str">
        <f>IF('ENC Labels'!D169&lt;&gt;"",'ENC Labels'!D169,"")</f>
        <v/>
      </c>
      <c r="B153" s="2" t="str">
        <f>IF(A153&lt;&gt;"",'ENC Labels'!E169,"")</f>
        <v/>
      </c>
      <c r="C153" t="str">
        <f>IF(A153&lt;&gt;"",'ENC Labels'!F169,"")</f>
        <v/>
      </c>
      <c r="D153" s="1" t="str">
        <f t="shared" si="2"/>
        <v/>
      </c>
    </row>
    <row r="154" spans="1:4" x14ac:dyDescent="0.2">
      <c r="A154" t="str">
        <f>IF('ENC Labels'!D170&lt;&gt;"",'ENC Labels'!D170,"")</f>
        <v/>
      </c>
      <c r="B154" s="2" t="str">
        <f>IF(A154&lt;&gt;"",'ENC Labels'!E170,"")</f>
        <v/>
      </c>
      <c r="C154" t="str">
        <f>IF(A154&lt;&gt;"",'ENC Labels'!F170,"")</f>
        <v/>
      </c>
      <c r="D154" s="1" t="str">
        <f t="shared" si="2"/>
        <v/>
      </c>
    </row>
    <row r="155" spans="1:4" x14ac:dyDescent="0.2">
      <c r="A155" t="str">
        <f>IF('ENC Labels'!D171&lt;&gt;"",'ENC Labels'!D171,"")</f>
        <v/>
      </c>
      <c r="B155" s="2" t="str">
        <f>IF(A155&lt;&gt;"",'ENC Labels'!E171,"")</f>
        <v/>
      </c>
      <c r="C155" t="str">
        <f>IF(A155&lt;&gt;"",'ENC Labels'!F171,"")</f>
        <v/>
      </c>
      <c r="D155" s="1" t="str">
        <f t="shared" si="2"/>
        <v/>
      </c>
    </row>
    <row r="156" spans="1:4" x14ac:dyDescent="0.2">
      <c r="A156" t="str">
        <f>IF('ENC Labels'!D172&lt;&gt;"",'ENC Labels'!D172,"")</f>
        <v/>
      </c>
      <c r="B156" s="2" t="str">
        <f>IF(A156&lt;&gt;"",'ENC Labels'!E172,"")</f>
        <v/>
      </c>
      <c r="C156" t="str">
        <f>IF(A156&lt;&gt;"",'ENC Labels'!F172,"")</f>
        <v/>
      </c>
      <c r="D156" s="1" t="str">
        <f t="shared" si="2"/>
        <v/>
      </c>
    </row>
    <row r="157" spans="1:4" x14ac:dyDescent="0.2">
      <c r="A157" t="str">
        <f>IF('ENC Labels'!D173&lt;&gt;"",'ENC Labels'!D173,"")</f>
        <v/>
      </c>
      <c r="B157" s="2" t="str">
        <f>IF(A157&lt;&gt;"",'ENC Labels'!E173,"")</f>
        <v/>
      </c>
      <c r="C157" t="str">
        <f>IF(A157&lt;&gt;"",'ENC Labels'!F173,"")</f>
        <v/>
      </c>
      <c r="D157" s="1" t="str">
        <f t="shared" si="2"/>
        <v/>
      </c>
    </row>
    <row r="158" spans="1:4" x14ac:dyDescent="0.2">
      <c r="A158" t="str">
        <f>IF('ENC Labels'!D174&lt;&gt;"",'ENC Labels'!D174,"")</f>
        <v/>
      </c>
      <c r="B158" s="2" t="str">
        <f>IF(A158&lt;&gt;"",'ENC Labels'!E174,"")</f>
        <v/>
      </c>
      <c r="C158" t="str">
        <f>IF(A158&lt;&gt;"",'ENC Labels'!F174,"")</f>
        <v/>
      </c>
      <c r="D158" s="1" t="str">
        <f t="shared" si="2"/>
        <v/>
      </c>
    </row>
    <row r="159" spans="1:4" x14ac:dyDescent="0.2">
      <c r="A159" t="str">
        <f>IF('ENC Labels'!D175&lt;&gt;"",'ENC Labels'!D175,"")</f>
        <v/>
      </c>
      <c r="B159" s="2" t="str">
        <f>IF(A159&lt;&gt;"",'ENC Labels'!E175,"")</f>
        <v/>
      </c>
      <c r="C159" t="str">
        <f>IF(A159&lt;&gt;"",'ENC Labels'!F175,"")</f>
        <v/>
      </c>
      <c r="D159" s="1" t="str">
        <f t="shared" si="2"/>
        <v/>
      </c>
    </row>
    <row r="160" spans="1:4" x14ac:dyDescent="0.2">
      <c r="A160" t="str">
        <f>IF('ENC Labels'!D176&lt;&gt;"",'ENC Labels'!D176,"")</f>
        <v/>
      </c>
      <c r="B160" s="2" t="str">
        <f>IF(A160&lt;&gt;"",'ENC Labels'!E176,"")</f>
        <v/>
      </c>
      <c r="C160" t="str">
        <f>IF(A160&lt;&gt;"",'ENC Labels'!F176,"")</f>
        <v/>
      </c>
      <c r="D160" s="1" t="str">
        <f t="shared" si="2"/>
        <v/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71C4-5D3F-4194-B2B5-3131A2BB3716}">
  <sheetPr codeName="Sheet16">
    <tabColor rgb="FFFFC000"/>
  </sheetPr>
  <dimension ref="A4:N161"/>
  <sheetViews>
    <sheetView view="pageBreakPreview" zoomScale="60" zoomScaleNormal="100" workbookViewId="0">
      <selection activeCell="M89" sqref="M89"/>
    </sheetView>
  </sheetViews>
  <sheetFormatPr defaultRowHeight="12.75" x14ac:dyDescent="0.2"/>
  <cols>
    <col min="1" max="1" width="14.5703125" bestFit="1" customWidth="1"/>
    <col min="2" max="2" width="15.42578125" style="1" bestFit="1" customWidth="1"/>
    <col min="8" max="8" width="18.7109375" bestFit="1" customWidth="1"/>
    <col min="9" max="9" width="12.7109375" bestFit="1" customWidth="1"/>
    <col min="10" max="10" width="4" bestFit="1" customWidth="1"/>
  </cols>
  <sheetData>
    <row r="4" spans="2:5" ht="13.5" thickBot="1" x14ac:dyDescent="0.25"/>
    <row r="5" spans="2:5" x14ac:dyDescent="0.2">
      <c r="C5" s="72"/>
      <c r="D5" s="73"/>
      <c r="E5" s="74"/>
    </row>
    <row r="6" spans="2:5" x14ac:dyDescent="0.2">
      <c r="C6" s="75"/>
      <c r="E6" s="76"/>
    </row>
    <row r="7" spans="2:5" x14ac:dyDescent="0.2">
      <c r="C7" s="75"/>
      <c r="E7" s="76"/>
    </row>
    <row r="8" spans="2:5" x14ac:dyDescent="0.2">
      <c r="C8" s="75"/>
      <c r="E8" s="76"/>
    </row>
    <row r="9" spans="2:5" x14ac:dyDescent="0.2">
      <c r="C9" s="75"/>
      <c r="E9" s="76"/>
    </row>
    <row r="10" spans="2:5" x14ac:dyDescent="0.2">
      <c r="B10" s="84" t="s">
        <v>73</v>
      </c>
      <c r="C10" s="191" t="s">
        <v>204</v>
      </c>
      <c r="D10" s="192"/>
      <c r="E10" s="193"/>
    </row>
    <row r="11" spans="2:5" x14ac:dyDescent="0.2">
      <c r="B11" s="84" t="s">
        <v>77</v>
      </c>
      <c r="C11" s="191" t="s">
        <v>205</v>
      </c>
      <c r="D11" s="192"/>
      <c r="E11" s="193"/>
    </row>
    <row r="12" spans="2:5" ht="13.5" thickBot="1" x14ac:dyDescent="0.25">
      <c r="B12" s="84" t="s">
        <v>74</v>
      </c>
      <c r="C12" s="194" t="s">
        <v>206</v>
      </c>
      <c r="D12" s="195"/>
      <c r="E12" s="196"/>
    </row>
    <row r="17" spans="1:14" ht="13.5" thickBot="1" x14ac:dyDescent="0.25">
      <c r="A17" s="70"/>
      <c r="B17" s="71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</row>
    <row r="20" spans="1:14" ht="13.5" thickBot="1" x14ac:dyDescent="0.25"/>
    <row r="21" spans="1:14" x14ac:dyDescent="0.2">
      <c r="C21" s="72"/>
      <c r="D21" s="73"/>
      <c r="E21" s="74"/>
    </row>
    <row r="22" spans="1:14" x14ac:dyDescent="0.2">
      <c r="C22" s="75"/>
      <c r="E22" s="76"/>
    </row>
    <row r="23" spans="1:14" x14ac:dyDescent="0.2">
      <c r="C23" s="75"/>
      <c r="E23" s="76"/>
    </row>
    <row r="24" spans="1:14" x14ac:dyDescent="0.2">
      <c r="C24" s="75"/>
      <c r="E24" s="76"/>
    </row>
    <row r="25" spans="1:14" x14ac:dyDescent="0.2">
      <c r="C25" s="75"/>
      <c r="E25" s="76"/>
    </row>
    <row r="26" spans="1:14" x14ac:dyDescent="0.2">
      <c r="B26" s="84" t="s">
        <v>73</v>
      </c>
      <c r="C26" s="191" t="s">
        <v>204</v>
      </c>
      <c r="D26" s="192"/>
      <c r="E26" s="193"/>
    </row>
    <row r="27" spans="1:14" x14ac:dyDescent="0.2">
      <c r="B27" s="84" t="s">
        <v>77</v>
      </c>
      <c r="C27" s="191" t="s">
        <v>205</v>
      </c>
      <c r="D27" s="192"/>
      <c r="E27" s="193"/>
    </row>
    <row r="28" spans="1:14" ht="13.5" thickBot="1" x14ac:dyDescent="0.25">
      <c r="B28" s="84" t="s">
        <v>74</v>
      </c>
      <c r="C28" s="194" t="s">
        <v>207</v>
      </c>
      <c r="D28" s="195"/>
      <c r="E28" s="196"/>
    </row>
    <row r="33" spans="1:14" ht="13.5" thickBot="1" x14ac:dyDescent="0.25">
      <c r="A33" s="70"/>
      <c r="B33" s="71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</row>
    <row r="36" spans="1:14" ht="13.5" thickBot="1" x14ac:dyDescent="0.25"/>
    <row r="37" spans="1:14" x14ac:dyDescent="0.2">
      <c r="C37" s="72"/>
      <c r="D37" s="73"/>
      <c r="E37" s="74"/>
    </row>
    <row r="38" spans="1:14" x14ac:dyDescent="0.2">
      <c r="C38" s="75"/>
      <c r="E38" s="76"/>
    </row>
    <row r="39" spans="1:14" x14ac:dyDescent="0.2">
      <c r="C39" s="75"/>
      <c r="E39" s="76"/>
    </row>
    <row r="40" spans="1:14" x14ac:dyDescent="0.2">
      <c r="C40" s="75"/>
      <c r="E40" s="76"/>
    </row>
    <row r="41" spans="1:14" x14ac:dyDescent="0.2">
      <c r="C41" s="75"/>
      <c r="E41" s="76"/>
    </row>
    <row r="42" spans="1:14" x14ac:dyDescent="0.2">
      <c r="B42" s="84" t="s">
        <v>73</v>
      </c>
      <c r="C42" s="191" t="s">
        <v>204</v>
      </c>
      <c r="D42" s="192"/>
      <c r="E42" s="193"/>
    </row>
    <row r="43" spans="1:14" x14ac:dyDescent="0.2">
      <c r="B43" s="84" t="s">
        <v>77</v>
      </c>
      <c r="C43" s="191" t="s">
        <v>205</v>
      </c>
      <c r="D43" s="192"/>
      <c r="E43" s="193"/>
    </row>
    <row r="44" spans="1:14" ht="13.5" thickBot="1" x14ac:dyDescent="0.25">
      <c r="B44" s="84" t="s">
        <v>74</v>
      </c>
      <c r="C44" s="194" t="s">
        <v>208</v>
      </c>
      <c r="D44" s="195"/>
      <c r="E44" s="196"/>
    </row>
    <row r="49" spans="1:14" ht="13.5" thickBot="1" x14ac:dyDescent="0.25">
      <c r="A49" s="70"/>
      <c r="B49" s="71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</row>
    <row r="52" spans="1:14" ht="13.5" thickBot="1" x14ac:dyDescent="0.25"/>
    <row r="53" spans="1:14" x14ac:dyDescent="0.2">
      <c r="C53" s="72"/>
      <c r="D53" s="73"/>
      <c r="E53" s="74"/>
    </row>
    <row r="54" spans="1:14" x14ac:dyDescent="0.2">
      <c r="C54" s="75"/>
      <c r="E54" s="76"/>
    </row>
    <row r="55" spans="1:14" x14ac:dyDescent="0.2">
      <c r="C55" s="75"/>
      <c r="E55" s="76"/>
    </row>
    <row r="56" spans="1:14" x14ac:dyDescent="0.2">
      <c r="C56" s="75"/>
      <c r="E56" s="76"/>
    </row>
    <row r="57" spans="1:14" x14ac:dyDescent="0.2">
      <c r="C57" s="75"/>
      <c r="E57" s="76"/>
    </row>
    <row r="58" spans="1:14" x14ac:dyDescent="0.2">
      <c r="B58" s="84" t="s">
        <v>73</v>
      </c>
      <c r="C58" s="191" t="s">
        <v>204</v>
      </c>
      <c r="D58" s="192"/>
      <c r="E58" s="193"/>
    </row>
    <row r="59" spans="1:14" x14ac:dyDescent="0.2">
      <c r="B59" s="84" t="s">
        <v>77</v>
      </c>
      <c r="C59" s="191" t="s">
        <v>205</v>
      </c>
      <c r="D59" s="192"/>
      <c r="E59" s="193"/>
    </row>
    <row r="60" spans="1:14" ht="13.5" thickBot="1" x14ac:dyDescent="0.25">
      <c r="B60" s="84" t="s">
        <v>74</v>
      </c>
      <c r="C60" s="194" t="s">
        <v>208</v>
      </c>
      <c r="D60" s="195"/>
      <c r="E60" s="196"/>
    </row>
    <row r="65" spans="1:14" ht="13.5" thickBot="1" x14ac:dyDescent="0.25">
      <c r="A65" s="70"/>
      <c r="B65" s="71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</row>
    <row r="68" spans="1:14" ht="13.5" thickBot="1" x14ac:dyDescent="0.25"/>
    <row r="69" spans="1:14" x14ac:dyDescent="0.2">
      <c r="C69" s="72"/>
      <c r="D69" s="73"/>
      <c r="E69" s="74"/>
    </row>
    <row r="70" spans="1:14" x14ac:dyDescent="0.2">
      <c r="C70" s="75"/>
      <c r="E70" s="76"/>
    </row>
    <row r="71" spans="1:14" x14ac:dyDescent="0.2">
      <c r="C71" s="75"/>
      <c r="E71" s="76"/>
    </row>
    <row r="72" spans="1:14" x14ac:dyDescent="0.2">
      <c r="C72" s="75"/>
      <c r="E72" s="76"/>
    </row>
    <row r="73" spans="1:14" x14ac:dyDescent="0.2">
      <c r="C73" s="75"/>
      <c r="E73" s="76"/>
    </row>
    <row r="74" spans="1:14" x14ac:dyDescent="0.2">
      <c r="B74" s="84" t="s">
        <v>73</v>
      </c>
      <c r="C74" s="191"/>
      <c r="D74" s="192"/>
      <c r="E74" s="193"/>
    </row>
    <row r="75" spans="1:14" x14ac:dyDescent="0.2">
      <c r="B75" s="84" t="s">
        <v>77</v>
      </c>
      <c r="C75" s="191"/>
      <c r="D75" s="192"/>
      <c r="E75" s="193"/>
    </row>
    <row r="76" spans="1:14" ht="13.5" thickBot="1" x14ac:dyDescent="0.25">
      <c r="B76" s="84" t="s">
        <v>74</v>
      </c>
      <c r="C76" s="194"/>
      <c r="D76" s="195"/>
      <c r="E76" s="196"/>
    </row>
    <row r="81" spans="1:14" ht="13.5" thickBot="1" x14ac:dyDescent="0.25">
      <c r="A81" s="70"/>
      <c r="B81" s="71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</row>
    <row r="84" spans="1:14" ht="13.5" thickBot="1" x14ac:dyDescent="0.25"/>
    <row r="85" spans="1:14" x14ac:dyDescent="0.2">
      <c r="C85" s="72"/>
      <c r="D85" s="73"/>
      <c r="E85" s="74"/>
    </row>
    <row r="86" spans="1:14" x14ac:dyDescent="0.2">
      <c r="C86" s="75"/>
      <c r="E86" s="76"/>
    </row>
    <row r="87" spans="1:14" x14ac:dyDescent="0.2">
      <c r="C87" s="75"/>
      <c r="E87" s="76"/>
    </row>
    <row r="88" spans="1:14" x14ac:dyDescent="0.2">
      <c r="C88" s="75"/>
      <c r="E88" s="76"/>
    </row>
    <row r="89" spans="1:14" x14ac:dyDescent="0.2">
      <c r="C89" s="75"/>
      <c r="E89" s="76"/>
    </row>
    <row r="90" spans="1:14" x14ac:dyDescent="0.2">
      <c r="B90" s="84" t="s">
        <v>73</v>
      </c>
      <c r="C90" s="191"/>
      <c r="D90" s="192"/>
      <c r="E90" s="193"/>
    </row>
    <row r="91" spans="1:14" x14ac:dyDescent="0.2">
      <c r="B91" s="84" t="s">
        <v>77</v>
      </c>
      <c r="C91" s="191"/>
      <c r="D91" s="192"/>
      <c r="E91" s="193"/>
    </row>
    <row r="92" spans="1:14" ht="13.5" thickBot="1" x14ac:dyDescent="0.25">
      <c r="B92" s="84" t="s">
        <v>74</v>
      </c>
      <c r="C92" s="194"/>
      <c r="D92" s="195"/>
      <c r="E92" s="196"/>
    </row>
    <row r="97" spans="1:14" ht="13.5" thickBot="1" x14ac:dyDescent="0.25">
      <c r="A97" s="70"/>
      <c r="B97" s="71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</row>
    <row r="100" spans="1:14" ht="13.5" thickBot="1" x14ac:dyDescent="0.25"/>
    <row r="101" spans="1:14" x14ac:dyDescent="0.2">
      <c r="C101" s="72"/>
      <c r="D101" s="73"/>
      <c r="E101" s="74"/>
    </row>
    <row r="102" spans="1:14" x14ac:dyDescent="0.2">
      <c r="C102" s="75"/>
      <c r="E102" s="76"/>
    </row>
    <row r="103" spans="1:14" x14ac:dyDescent="0.2">
      <c r="C103" s="75"/>
      <c r="E103" s="76"/>
    </row>
    <row r="104" spans="1:14" x14ac:dyDescent="0.2">
      <c r="C104" s="75"/>
      <c r="E104" s="76"/>
    </row>
    <row r="105" spans="1:14" x14ac:dyDescent="0.2">
      <c r="C105" s="75"/>
      <c r="E105" s="76"/>
    </row>
    <row r="106" spans="1:14" x14ac:dyDescent="0.2">
      <c r="B106" s="84" t="s">
        <v>73</v>
      </c>
      <c r="C106" s="191"/>
      <c r="D106" s="192"/>
      <c r="E106" s="193"/>
    </row>
    <row r="107" spans="1:14" x14ac:dyDescent="0.2">
      <c r="B107" s="84" t="s">
        <v>77</v>
      </c>
      <c r="C107" s="191"/>
      <c r="D107" s="192"/>
      <c r="E107" s="193"/>
    </row>
    <row r="108" spans="1:14" ht="13.5" thickBot="1" x14ac:dyDescent="0.25">
      <c r="B108" s="84" t="s">
        <v>74</v>
      </c>
      <c r="C108" s="194"/>
      <c r="D108" s="195"/>
      <c r="E108" s="196"/>
    </row>
    <row r="113" spans="1:14" ht="13.5" thickBot="1" x14ac:dyDescent="0.25">
      <c r="A113" s="70"/>
      <c r="B113" s="71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</row>
    <row r="116" spans="1:14" ht="13.5" thickBot="1" x14ac:dyDescent="0.25"/>
    <row r="117" spans="1:14" x14ac:dyDescent="0.2">
      <c r="C117" s="72"/>
      <c r="D117" s="73"/>
      <c r="E117" s="74"/>
    </row>
    <row r="118" spans="1:14" x14ac:dyDescent="0.2">
      <c r="C118" s="75"/>
      <c r="E118" s="76"/>
    </row>
    <row r="119" spans="1:14" x14ac:dyDescent="0.2">
      <c r="C119" s="75"/>
      <c r="E119" s="76"/>
    </row>
    <row r="120" spans="1:14" x14ac:dyDescent="0.2">
      <c r="C120" s="75"/>
      <c r="E120" s="76"/>
    </row>
    <row r="121" spans="1:14" x14ac:dyDescent="0.2">
      <c r="C121" s="75"/>
      <c r="E121" s="76"/>
    </row>
    <row r="122" spans="1:14" x14ac:dyDescent="0.2">
      <c r="B122" s="84" t="s">
        <v>73</v>
      </c>
      <c r="C122" s="191"/>
      <c r="D122" s="192"/>
      <c r="E122" s="193"/>
    </row>
    <row r="123" spans="1:14" x14ac:dyDescent="0.2">
      <c r="B123" s="84" t="s">
        <v>77</v>
      </c>
      <c r="C123" s="191"/>
      <c r="D123" s="192"/>
      <c r="E123" s="193"/>
    </row>
    <row r="124" spans="1:14" ht="13.5" thickBot="1" x14ac:dyDescent="0.25">
      <c r="B124" s="84" t="s">
        <v>74</v>
      </c>
      <c r="C124" s="194"/>
      <c r="D124" s="195"/>
      <c r="E124" s="196"/>
    </row>
    <row r="129" spans="1:14" ht="13.5" thickBot="1" x14ac:dyDescent="0.25">
      <c r="A129" s="70"/>
      <c r="B129" s="71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</row>
    <row r="132" spans="1:14" ht="13.5" thickBot="1" x14ac:dyDescent="0.25"/>
    <row r="133" spans="1:14" x14ac:dyDescent="0.2">
      <c r="C133" s="72"/>
      <c r="D133" s="73"/>
      <c r="E133" s="74"/>
    </row>
    <row r="134" spans="1:14" x14ac:dyDescent="0.2">
      <c r="C134" s="75"/>
      <c r="E134" s="76"/>
    </row>
    <row r="135" spans="1:14" x14ac:dyDescent="0.2">
      <c r="C135" s="75"/>
      <c r="E135" s="76"/>
    </row>
    <row r="136" spans="1:14" x14ac:dyDescent="0.2">
      <c r="C136" s="75"/>
      <c r="E136" s="76"/>
    </row>
    <row r="137" spans="1:14" x14ac:dyDescent="0.2">
      <c r="C137" s="75"/>
      <c r="E137" s="76"/>
    </row>
    <row r="138" spans="1:14" x14ac:dyDescent="0.2">
      <c r="B138" s="84" t="s">
        <v>73</v>
      </c>
      <c r="C138" s="191"/>
      <c r="D138" s="192"/>
      <c r="E138" s="193"/>
    </row>
    <row r="139" spans="1:14" x14ac:dyDescent="0.2">
      <c r="B139" s="84" t="s">
        <v>77</v>
      </c>
      <c r="C139" s="191"/>
      <c r="D139" s="192"/>
      <c r="E139" s="193"/>
    </row>
    <row r="140" spans="1:14" ht="13.5" thickBot="1" x14ac:dyDescent="0.25">
      <c r="B140" s="84" t="s">
        <v>74</v>
      </c>
      <c r="C140" s="194"/>
      <c r="D140" s="195"/>
      <c r="E140" s="196"/>
    </row>
    <row r="145" spans="1:14" ht="13.5" thickBot="1" x14ac:dyDescent="0.25">
      <c r="A145" s="70"/>
      <c r="B145" s="71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</row>
    <row r="148" spans="1:14" ht="13.5" thickBot="1" x14ac:dyDescent="0.25"/>
    <row r="149" spans="1:14" x14ac:dyDescent="0.2">
      <c r="C149" s="72"/>
      <c r="D149" s="73"/>
      <c r="E149" s="74"/>
    </row>
    <row r="150" spans="1:14" x14ac:dyDescent="0.2">
      <c r="C150" s="75"/>
      <c r="E150" s="76"/>
    </row>
    <row r="151" spans="1:14" x14ac:dyDescent="0.2">
      <c r="C151" s="75"/>
      <c r="E151" s="76"/>
    </row>
    <row r="152" spans="1:14" x14ac:dyDescent="0.2">
      <c r="C152" s="75"/>
      <c r="E152" s="76"/>
    </row>
    <row r="153" spans="1:14" x14ac:dyDescent="0.2">
      <c r="C153" s="75"/>
      <c r="E153" s="76"/>
    </row>
    <row r="154" spans="1:14" x14ac:dyDescent="0.2">
      <c r="B154" s="84" t="s">
        <v>73</v>
      </c>
      <c r="C154" s="191"/>
      <c r="D154" s="192"/>
      <c r="E154" s="193"/>
    </row>
    <row r="155" spans="1:14" x14ac:dyDescent="0.2">
      <c r="B155" s="84" t="s">
        <v>77</v>
      </c>
      <c r="C155" s="191"/>
      <c r="D155" s="192"/>
      <c r="E155" s="193"/>
    </row>
    <row r="156" spans="1:14" ht="13.5" thickBot="1" x14ac:dyDescent="0.25">
      <c r="B156" s="84" t="s">
        <v>74</v>
      </c>
      <c r="C156" s="194"/>
      <c r="D156" s="195"/>
      <c r="E156" s="196"/>
    </row>
    <row r="161" spans="1:14" ht="13.5" thickBot="1" x14ac:dyDescent="0.25">
      <c r="A161" s="70"/>
      <c r="B161" s="71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</row>
  </sheetData>
  <mergeCells count="30">
    <mergeCell ref="C154:E154"/>
    <mergeCell ref="C155:E155"/>
    <mergeCell ref="C156:E156"/>
    <mergeCell ref="C123:E123"/>
    <mergeCell ref="C124:E124"/>
    <mergeCell ref="C138:E138"/>
    <mergeCell ref="C139:E139"/>
    <mergeCell ref="C140:E140"/>
    <mergeCell ref="C92:E92"/>
    <mergeCell ref="C106:E106"/>
    <mergeCell ref="C107:E107"/>
    <mergeCell ref="C108:E108"/>
    <mergeCell ref="C122:E122"/>
    <mergeCell ref="C74:E74"/>
    <mergeCell ref="C75:E75"/>
    <mergeCell ref="C76:E76"/>
    <mergeCell ref="C90:E90"/>
    <mergeCell ref="C91:E91"/>
    <mergeCell ref="C28:E28"/>
    <mergeCell ref="C10:E10"/>
    <mergeCell ref="C11:E11"/>
    <mergeCell ref="C12:E12"/>
    <mergeCell ref="C26:E26"/>
    <mergeCell ref="C27:E27"/>
    <mergeCell ref="C58:E58"/>
    <mergeCell ref="C59:E59"/>
    <mergeCell ref="C60:E60"/>
    <mergeCell ref="C42:E42"/>
    <mergeCell ref="C43:E43"/>
    <mergeCell ref="C44:E44"/>
  </mergeCells>
  <pageMargins left="0.7" right="0.7" top="0.75" bottom="0.75" header="0.3" footer="0.3"/>
  <pageSetup orientation="portrait" r:id="rId1"/>
  <rowBreaks count="3" manualBreakCount="3">
    <brk id="49" max="7" man="1"/>
    <brk id="97" max="7" man="1"/>
    <brk id="145" max="7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EF68-6221-4C33-BD4F-F4740E456ADC}">
  <sheetPr codeName="Sheet17">
    <tabColor rgb="FFFFC000"/>
  </sheetPr>
  <dimension ref="A1:D11"/>
  <sheetViews>
    <sheetView view="pageBreakPreview" zoomScale="60" zoomScaleNormal="100" workbookViewId="0">
      <selection activeCell="F5" sqref="F5"/>
    </sheetView>
  </sheetViews>
  <sheetFormatPr defaultRowHeight="12.75" x14ac:dyDescent="0.2"/>
  <cols>
    <col min="2" max="2" width="18.7109375" bestFit="1" customWidth="1"/>
    <col min="3" max="3" width="12.7109375" bestFit="1" customWidth="1"/>
    <col min="4" max="4" width="7.7109375" bestFit="1" customWidth="1"/>
  </cols>
  <sheetData>
    <row r="1" spans="1:4" x14ac:dyDescent="0.2">
      <c r="A1" t="s">
        <v>78</v>
      </c>
      <c r="B1" t="s">
        <v>79</v>
      </c>
      <c r="C1" t="s">
        <v>80</v>
      </c>
      <c r="D1" t="s">
        <v>51</v>
      </c>
    </row>
    <row r="2" spans="1:4" x14ac:dyDescent="0.2">
      <c r="A2" t="str">
        <f>IF('Stand labels'!C10=0," ",'Stand labels'!C10)</f>
        <v>GM ORN</v>
      </c>
      <c r="B2" t="str">
        <f>IF('Stand labels'!C11=0," ",'Stand labels'!C11)</f>
        <v>ZJ040 - NFP 3 - FRONT PIERCE</v>
      </c>
      <c r="C2" t="str">
        <f>IF('Stand labels'!C12=0," ",'Stand labels'!C12)</f>
        <v>LHFLR-V STAND</v>
      </c>
      <c r="D2">
        <f>IF(A2&lt;&gt;" ",3,IF(B2&lt;&gt;" ",2,IF(C2&lt;&gt;" ",2," ")))</f>
        <v>3</v>
      </c>
    </row>
    <row r="3" spans="1:4" x14ac:dyDescent="0.2">
      <c r="A3" t="str">
        <f>IF('Stand labels'!C26=0," ",'Stand labels'!C26)</f>
        <v>GM ORN</v>
      </c>
      <c r="B3" t="str">
        <f>IF('Stand labels'!C27=0," ",'Stand labels'!C27)</f>
        <v>ZJ040 - NFP 3 - FRONT PIERCE</v>
      </c>
      <c r="C3" t="str">
        <f>IF('Stand labels'!C28=0," ",'Stand labels'!C28)</f>
        <v>RHFLR-V STAND</v>
      </c>
      <c r="D3">
        <f t="shared" ref="D3:D6" si="0">IF(A3&lt;&gt;" ",3,IF(B3&lt;&gt;" ",2,IF(C3&lt;&gt;" ",2," ")))</f>
        <v>3</v>
      </c>
    </row>
    <row r="4" spans="1:4" x14ac:dyDescent="0.2">
      <c r="A4" t="str">
        <f>IF('Stand labels'!C42=0," ",'Stand labels'!C42)</f>
        <v>GM ORN</v>
      </c>
      <c r="B4" t="str">
        <f>IF('Stand labels'!C43=0," ",'Stand labels'!C43)</f>
        <v>ZJ040 - NFP 3 - FRONT PIERCE</v>
      </c>
      <c r="C4" t="str">
        <f>IF('Stand labels'!C44=0," ",'Stand labels'!C44)</f>
        <v>REFRENCE STAND</v>
      </c>
      <c r="D4">
        <f t="shared" si="0"/>
        <v>3</v>
      </c>
    </row>
    <row r="5" spans="1:4" x14ac:dyDescent="0.2">
      <c r="A5" t="str">
        <f>IF('Stand labels'!C58=0," ",'Stand labels'!C58)</f>
        <v>GM ORN</v>
      </c>
      <c r="B5" t="str">
        <f>IF('Stand labels'!C59=0," ",'Stand labels'!C59)</f>
        <v>ZJ040 - NFP 3 - FRONT PIERCE</v>
      </c>
      <c r="C5" t="str">
        <f>IF('Stand labels'!C60=0," ",'Stand labels'!C60)</f>
        <v>REFRENCE STAND</v>
      </c>
      <c r="D5">
        <f t="shared" si="0"/>
        <v>3</v>
      </c>
    </row>
    <row r="6" spans="1:4" x14ac:dyDescent="0.2">
      <c r="A6" t="str">
        <f>IF('Stand labels'!C74=0," ",'Stand labels'!C74)</f>
        <v xml:space="preserve"> </v>
      </c>
      <c r="B6" t="str">
        <f>IF('Stand labels'!C75=0," ",'Stand labels'!C75)</f>
        <v xml:space="preserve"> </v>
      </c>
      <c r="C6" t="str">
        <f>IF('Stand labels'!C76=0," ",'Stand labels'!C76)</f>
        <v xml:space="preserve"> </v>
      </c>
      <c r="D6" t="str">
        <f t="shared" si="0"/>
        <v xml:space="preserve"> </v>
      </c>
    </row>
    <row r="7" spans="1:4" x14ac:dyDescent="0.2">
      <c r="A7" t="str">
        <f>IF('Stand labels'!C90=0," ",'Stand labels'!C90)</f>
        <v xml:space="preserve"> </v>
      </c>
      <c r="B7" t="str">
        <f>IF('Stand labels'!C91=0," ",'Stand labels'!C91)</f>
        <v xml:space="preserve"> </v>
      </c>
      <c r="C7" t="str">
        <f>IF('Stand labels'!C92=0," ",'Stand labels'!C92)</f>
        <v xml:space="preserve"> </v>
      </c>
      <c r="D7" t="str">
        <f t="shared" ref="D7:D11" si="1">IF(A7&lt;&gt;" ",2,IF(B7&lt;&gt;" ",2,IF(C7&lt;&gt;" ",2," ")))</f>
        <v xml:space="preserve"> </v>
      </c>
    </row>
    <row r="8" spans="1:4" x14ac:dyDescent="0.2">
      <c r="A8" t="str">
        <f>IF('Stand labels'!C106=0," ",'Stand labels'!C106)</f>
        <v xml:space="preserve"> </v>
      </c>
      <c r="B8" t="str">
        <f>IF('Stand labels'!C107=0," ",'Stand labels'!C107)</f>
        <v xml:space="preserve"> </v>
      </c>
      <c r="C8" t="str">
        <f>IF('Stand labels'!C108=0," ",'Stand labels'!C108)</f>
        <v xml:space="preserve"> </v>
      </c>
      <c r="D8" t="str">
        <f t="shared" si="1"/>
        <v xml:space="preserve"> </v>
      </c>
    </row>
    <row r="9" spans="1:4" x14ac:dyDescent="0.2">
      <c r="A9" t="str">
        <f>IF('Stand labels'!C122=0," ",'Stand labels'!C122)</f>
        <v xml:space="preserve"> </v>
      </c>
      <c r="B9" t="str">
        <f>IF('Stand labels'!C123=0," ",'Stand labels'!C123)</f>
        <v xml:space="preserve"> </v>
      </c>
      <c r="C9" t="str">
        <f>IF('Stand labels'!C124=0," ",'Stand labels'!C124)</f>
        <v xml:space="preserve"> </v>
      </c>
      <c r="D9" t="str">
        <f t="shared" si="1"/>
        <v xml:space="preserve"> </v>
      </c>
    </row>
    <row r="10" spans="1:4" x14ac:dyDescent="0.2">
      <c r="A10" t="str">
        <f>IF('Stand labels'!C138=0," ",'Stand labels'!C138)</f>
        <v xml:space="preserve"> </v>
      </c>
      <c r="B10" t="str">
        <f>IF('Stand labels'!C139=0," ",'Stand labels'!C139)</f>
        <v xml:space="preserve"> </v>
      </c>
      <c r="C10" t="str">
        <f>IF('Stand labels'!C140=0," ",'Stand labels'!C140)</f>
        <v xml:space="preserve"> </v>
      </c>
      <c r="D10" t="str">
        <f t="shared" si="1"/>
        <v xml:space="preserve"> </v>
      </c>
    </row>
    <row r="11" spans="1:4" x14ac:dyDescent="0.2">
      <c r="A11" t="str">
        <f>IF('Stand labels'!C154=0," ",'Stand labels'!C154)</f>
        <v xml:space="preserve"> </v>
      </c>
      <c r="B11" t="str">
        <f>IF('Stand labels'!C155=0," ",'Stand labels'!C155)</f>
        <v xml:space="preserve"> </v>
      </c>
      <c r="C11" t="str">
        <f>IF('Stand labels'!C156=0," ",'Stand labels'!C156)</f>
        <v xml:space="preserve"> </v>
      </c>
      <c r="D11" t="str">
        <f t="shared" si="1"/>
        <v xml:space="preserve"> 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F3CC-F6BE-474F-84A8-FE51672C677C}">
  <sheetPr codeName="Sheet18">
    <tabColor rgb="FFEDFF01"/>
  </sheetPr>
  <dimension ref="A1:D257"/>
  <sheetViews>
    <sheetView zoomScale="120" zoomScaleNormal="120" zoomScaleSheetLayoutView="100" workbookViewId="0">
      <selection activeCell="H28" sqref="H28"/>
    </sheetView>
  </sheetViews>
  <sheetFormatPr defaultRowHeight="12.75" x14ac:dyDescent="0.2"/>
  <cols>
    <col min="1" max="1" width="11.7109375" style="122" bestFit="1" customWidth="1"/>
    <col min="2" max="2" width="9.42578125" style="121" bestFit="1" customWidth="1"/>
    <col min="3" max="3" width="9.42578125" bestFit="1" customWidth="1"/>
    <col min="4" max="4" width="13" bestFit="1" customWidth="1"/>
  </cols>
  <sheetData>
    <row r="1" spans="1:4" s="15" customFormat="1" x14ac:dyDescent="0.2">
      <c r="A1" s="116" t="s">
        <v>99</v>
      </c>
      <c r="B1" s="117" t="s">
        <v>100</v>
      </c>
      <c r="C1" s="15" t="s">
        <v>101</v>
      </c>
      <c r="D1" s="15" t="s">
        <v>106</v>
      </c>
    </row>
    <row r="2" spans="1:4" x14ac:dyDescent="0.2">
      <c r="A2" s="118"/>
      <c r="B2" s="119"/>
      <c r="C2" s="119"/>
      <c r="D2" t="str">
        <f t="shared" ref="D2:D13" si="0">CONCATENATE(A2,"-",B2)</f>
        <v>-</v>
      </c>
    </row>
    <row r="3" spans="1:4" x14ac:dyDescent="0.2">
      <c r="A3" s="118"/>
      <c r="B3" s="119"/>
      <c r="C3" s="119"/>
      <c r="D3" t="str">
        <f t="shared" si="0"/>
        <v>-</v>
      </c>
    </row>
    <row r="4" spans="1:4" x14ac:dyDescent="0.2">
      <c r="A4" s="118"/>
      <c r="B4" s="119"/>
      <c r="C4" s="119"/>
      <c r="D4" t="str">
        <f t="shared" si="0"/>
        <v>-</v>
      </c>
    </row>
    <row r="5" spans="1:4" x14ac:dyDescent="0.2">
      <c r="A5" s="118"/>
      <c r="B5" s="119"/>
      <c r="C5" s="119"/>
      <c r="D5" t="str">
        <f t="shared" si="0"/>
        <v>-</v>
      </c>
    </row>
    <row r="6" spans="1:4" x14ac:dyDescent="0.2">
      <c r="A6" s="118"/>
      <c r="B6" s="119"/>
      <c r="C6" s="119"/>
      <c r="D6" t="str">
        <f t="shared" si="0"/>
        <v>-</v>
      </c>
    </row>
    <row r="7" spans="1:4" x14ac:dyDescent="0.2">
      <c r="A7" s="118"/>
      <c r="B7" s="119"/>
      <c r="C7" s="119"/>
      <c r="D7" t="str">
        <f t="shared" si="0"/>
        <v>-</v>
      </c>
    </row>
    <row r="8" spans="1:4" x14ac:dyDescent="0.2">
      <c r="A8" s="118"/>
      <c r="B8" s="119"/>
      <c r="C8" s="119"/>
      <c r="D8" t="str">
        <f t="shared" si="0"/>
        <v>-</v>
      </c>
    </row>
    <row r="9" spans="1:4" x14ac:dyDescent="0.2">
      <c r="A9" s="118"/>
      <c r="B9" s="119"/>
      <c r="C9" s="119"/>
      <c r="D9" t="str">
        <f t="shared" si="0"/>
        <v>-</v>
      </c>
    </row>
    <row r="10" spans="1:4" x14ac:dyDescent="0.2">
      <c r="A10" s="118"/>
      <c r="B10" s="119"/>
      <c r="C10" s="119"/>
      <c r="D10" t="str">
        <f t="shared" si="0"/>
        <v>-</v>
      </c>
    </row>
    <row r="11" spans="1:4" x14ac:dyDescent="0.2">
      <c r="A11" s="118"/>
      <c r="B11" s="119"/>
      <c r="C11" s="119"/>
      <c r="D11" t="str">
        <f t="shared" si="0"/>
        <v>-</v>
      </c>
    </row>
    <row r="12" spans="1:4" x14ac:dyDescent="0.2">
      <c r="A12" s="118"/>
      <c r="B12" s="119"/>
      <c r="C12" s="119"/>
      <c r="D12" t="str">
        <f t="shared" si="0"/>
        <v>-</v>
      </c>
    </row>
    <row r="13" spans="1:4" x14ac:dyDescent="0.2">
      <c r="A13" s="118"/>
      <c r="B13" s="119"/>
      <c r="C13" s="119"/>
      <c r="D13" t="str">
        <f t="shared" si="0"/>
        <v>-</v>
      </c>
    </row>
    <row r="14" spans="1:4" x14ac:dyDescent="0.2">
      <c r="A14" s="120"/>
    </row>
    <row r="15" spans="1:4" x14ac:dyDescent="0.2">
      <c r="A15" s="120"/>
    </row>
    <row r="16" spans="1:4" x14ac:dyDescent="0.2">
      <c r="A16" s="120"/>
    </row>
    <row r="17" spans="1:1" x14ac:dyDescent="0.2">
      <c r="A17" s="120"/>
    </row>
    <row r="18" spans="1:1" x14ac:dyDescent="0.2">
      <c r="A18" s="120"/>
    </row>
    <row r="19" spans="1:1" x14ac:dyDescent="0.2">
      <c r="A19" s="120"/>
    </row>
    <row r="20" spans="1:1" x14ac:dyDescent="0.2">
      <c r="A20" s="120"/>
    </row>
    <row r="21" spans="1:1" x14ac:dyDescent="0.2">
      <c r="A21" s="120"/>
    </row>
    <row r="22" spans="1:1" x14ac:dyDescent="0.2">
      <c r="A22" s="120"/>
    </row>
    <row r="23" spans="1:1" x14ac:dyDescent="0.2">
      <c r="A23" s="120"/>
    </row>
    <row r="24" spans="1:1" x14ac:dyDescent="0.2">
      <c r="A24" s="120"/>
    </row>
    <row r="25" spans="1:1" x14ac:dyDescent="0.2">
      <c r="A25" s="120"/>
    </row>
    <row r="26" spans="1:1" x14ac:dyDescent="0.2">
      <c r="A26" s="120"/>
    </row>
    <row r="27" spans="1:1" x14ac:dyDescent="0.2">
      <c r="A27" s="120"/>
    </row>
    <row r="28" spans="1:1" x14ac:dyDescent="0.2">
      <c r="A28" s="120"/>
    </row>
    <row r="29" spans="1:1" x14ac:dyDescent="0.2">
      <c r="A29" s="120"/>
    </row>
    <row r="30" spans="1:1" x14ac:dyDescent="0.2">
      <c r="A30" s="120"/>
    </row>
    <row r="31" spans="1:1" x14ac:dyDescent="0.2">
      <c r="A31" s="120"/>
    </row>
    <row r="32" spans="1:1" x14ac:dyDescent="0.2">
      <c r="A32" s="120"/>
    </row>
    <row r="33" spans="1:1" x14ac:dyDescent="0.2">
      <c r="A33" s="120"/>
    </row>
    <row r="34" spans="1:1" x14ac:dyDescent="0.2">
      <c r="A34" s="120"/>
    </row>
    <row r="35" spans="1:1" x14ac:dyDescent="0.2">
      <c r="A35" s="120"/>
    </row>
    <row r="36" spans="1:1" x14ac:dyDescent="0.2">
      <c r="A36" s="120"/>
    </row>
    <row r="37" spans="1:1" x14ac:dyDescent="0.2">
      <c r="A37" s="120"/>
    </row>
    <row r="38" spans="1:1" x14ac:dyDescent="0.2">
      <c r="A38" s="120"/>
    </row>
    <row r="39" spans="1:1" x14ac:dyDescent="0.2">
      <c r="A39" s="120"/>
    </row>
    <row r="40" spans="1:1" x14ac:dyDescent="0.2">
      <c r="A40" s="120"/>
    </row>
    <row r="41" spans="1:1" x14ac:dyDescent="0.2">
      <c r="A41" s="120"/>
    </row>
    <row r="42" spans="1:1" x14ac:dyDescent="0.2">
      <c r="A42" s="120"/>
    </row>
    <row r="43" spans="1:1" x14ac:dyDescent="0.2">
      <c r="A43" s="120"/>
    </row>
    <row r="44" spans="1:1" x14ac:dyDescent="0.2">
      <c r="A44" s="120"/>
    </row>
    <row r="45" spans="1:1" x14ac:dyDescent="0.2">
      <c r="A45" s="120"/>
    </row>
    <row r="46" spans="1:1" x14ac:dyDescent="0.2">
      <c r="A46" s="120"/>
    </row>
    <row r="47" spans="1:1" x14ac:dyDescent="0.2">
      <c r="A47" s="120"/>
    </row>
    <row r="48" spans="1:1" x14ac:dyDescent="0.2">
      <c r="A48" s="120"/>
    </row>
    <row r="49" spans="1:1" x14ac:dyDescent="0.2">
      <c r="A49" s="120"/>
    </row>
    <row r="50" spans="1:1" x14ac:dyDescent="0.2">
      <c r="A50" s="120"/>
    </row>
    <row r="51" spans="1:1" x14ac:dyDescent="0.2">
      <c r="A51" s="120"/>
    </row>
    <row r="52" spans="1:1" x14ac:dyDescent="0.2">
      <c r="A52" s="120"/>
    </row>
    <row r="53" spans="1:1" x14ac:dyDescent="0.2">
      <c r="A53" s="120"/>
    </row>
    <row r="54" spans="1:1" x14ac:dyDescent="0.2">
      <c r="A54" s="120"/>
    </row>
    <row r="55" spans="1:1" x14ac:dyDescent="0.2">
      <c r="A55" s="120"/>
    </row>
    <row r="56" spans="1:1" x14ac:dyDescent="0.2">
      <c r="A56" s="120"/>
    </row>
    <row r="57" spans="1:1" x14ac:dyDescent="0.2">
      <c r="A57" s="120"/>
    </row>
    <row r="58" spans="1:1" x14ac:dyDescent="0.2">
      <c r="A58" s="120"/>
    </row>
    <row r="59" spans="1:1" x14ac:dyDescent="0.2">
      <c r="A59" s="120"/>
    </row>
    <row r="60" spans="1:1" x14ac:dyDescent="0.2">
      <c r="A60" s="120"/>
    </row>
    <row r="61" spans="1:1" x14ac:dyDescent="0.2">
      <c r="A61" s="120"/>
    </row>
    <row r="62" spans="1:1" x14ac:dyDescent="0.2">
      <c r="A62" s="120"/>
    </row>
    <row r="63" spans="1:1" x14ac:dyDescent="0.2">
      <c r="A63" s="120"/>
    </row>
    <row r="64" spans="1:1" x14ac:dyDescent="0.2">
      <c r="A64" s="120"/>
    </row>
    <row r="65" spans="1:1" x14ac:dyDescent="0.2">
      <c r="A65" s="120"/>
    </row>
    <row r="66" spans="1:1" x14ac:dyDescent="0.2">
      <c r="A66" s="120"/>
    </row>
    <row r="67" spans="1:1" x14ac:dyDescent="0.2">
      <c r="A67" s="120"/>
    </row>
    <row r="68" spans="1:1" x14ac:dyDescent="0.2">
      <c r="A68" s="120"/>
    </row>
    <row r="69" spans="1:1" x14ac:dyDescent="0.2">
      <c r="A69" s="120"/>
    </row>
    <row r="70" spans="1:1" x14ac:dyDescent="0.2">
      <c r="A70" s="120"/>
    </row>
    <row r="71" spans="1:1" x14ac:dyDescent="0.2">
      <c r="A71" s="120"/>
    </row>
    <row r="72" spans="1:1" x14ac:dyDescent="0.2">
      <c r="A72" s="120"/>
    </row>
    <row r="73" spans="1:1" x14ac:dyDescent="0.2">
      <c r="A73" s="120"/>
    </row>
    <row r="74" spans="1:1" x14ac:dyDescent="0.2">
      <c r="A74" s="120"/>
    </row>
    <row r="75" spans="1:1" x14ac:dyDescent="0.2">
      <c r="A75" s="120"/>
    </row>
    <row r="76" spans="1:1" x14ac:dyDescent="0.2">
      <c r="A76" s="120"/>
    </row>
    <row r="77" spans="1:1" x14ac:dyDescent="0.2">
      <c r="A77" s="120"/>
    </row>
    <row r="78" spans="1:1" x14ac:dyDescent="0.2">
      <c r="A78" s="120"/>
    </row>
    <row r="79" spans="1:1" x14ac:dyDescent="0.2">
      <c r="A79" s="120"/>
    </row>
    <row r="80" spans="1:1" x14ac:dyDescent="0.2">
      <c r="A80" s="120"/>
    </row>
    <row r="81" spans="1:1" x14ac:dyDescent="0.2">
      <c r="A81" s="120"/>
    </row>
    <row r="82" spans="1:1" x14ac:dyDescent="0.2">
      <c r="A82" s="120"/>
    </row>
    <row r="83" spans="1:1" x14ac:dyDescent="0.2">
      <c r="A83" s="120"/>
    </row>
    <row r="84" spans="1:1" x14ac:dyDescent="0.2">
      <c r="A84" s="120"/>
    </row>
    <row r="85" spans="1:1" x14ac:dyDescent="0.2">
      <c r="A85" s="120"/>
    </row>
    <row r="86" spans="1:1" x14ac:dyDescent="0.2">
      <c r="A86" s="120"/>
    </row>
    <row r="87" spans="1:1" x14ac:dyDescent="0.2">
      <c r="A87" s="120"/>
    </row>
    <row r="88" spans="1:1" x14ac:dyDescent="0.2">
      <c r="A88" s="120"/>
    </row>
    <row r="89" spans="1:1" x14ac:dyDescent="0.2">
      <c r="A89" s="120"/>
    </row>
    <row r="90" spans="1:1" x14ac:dyDescent="0.2">
      <c r="A90" s="120"/>
    </row>
    <row r="91" spans="1:1" x14ac:dyDescent="0.2">
      <c r="A91" s="120"/>
    </row>
    <row r="92" spans="1:1" x14ac:dyDescent="0.2">
      <c r="A92" s="120"/>
    </row>
    <row r="93" spans="1:1" x14ac:dyDescent="0.2">
      <c r="A93" s="120"/>
    </row>
    <row r="94" spans="1:1" x14ac:dyDescent="0.2">
      <c r="A94" s="120"/>
    </row>
    <row r="95" spans="1:1" x14ac:dyDescent="0.2">
      <c r="A95" s="120"/>
    </row>
    <row r="96" spans="1:1" x14ac:dyDescent="0.2">
      <c r="A96" s="120"/>
    </row>
    <row r="97" spans="1:1" x14ac:dyDescent="0.2">
      <c r="A97" s="120"/>
    </row>
    <row r="98" spans="1:1" x14ac:dyDescent="0.2">
      <c r="A98" s="120"/>
    </row>
    <row r="99" spans="1:1" x14ac:dyDescent="0.2">
      <c r="A99" s="120"/>
    </row>
    <row r="100" spans="1:1" x14ac:dyDescent="0.2">
      <c r="A100" s="120"/>
    </row>
    <row r="101" spans="1:1" x14ac:dyDescent="0.2">
      <c r="A101" s="120"/>
    </row>
    <row r="102" spans="1:1" x14ac:dyDescent="0.2">
      <c r="A102" s="120"/>
    </row>
    <row r="103" spans="1:1" x14ac:dyDescent="0.2">
      <c r="A103" s="120"/>
    </row>
    <row r="104" spans="1:1" x14ac:dyDescent="0.2">
      <c r="A104" s="120"/>
    </row>
    <row r="105" spans="1:1" x14ac:dyDescent="0.2">
      <c r="A105" s="120"/>
    </row>
    <row r="106" spans="1:1" x14ac:dyDescent="0.2">
      <c r="A106" s="120"/>
    </row>
    <row r="107" spans="1:1" x14ac:dyDescent="0.2">
      <c r="A107" s="120"/>
    </row>
    <row r="108" spans="1:1" x14ac:dyDescent="0.2">
      <c r="A108" s="120"/>
    </row>
    <row r="109" spans="1:1" x14ac:dyDescent="0.2">
      <c r="A109" s="120"/>
    </row>
    <row r="110" spans="1:1" x14ac:dyDescent="0.2">
      <c r="A110" s="120"/>
    </row>
    <row r="111" spans="1:1" x14ac:dyDescent="0.2">
      <c r="A111" s="120"/>
    </row>
    <row r="112" spans="1:1" x14ac:dyDescent="0.2">
      <c r="A112" s="120"/>
    </row>
    <row r="113" spans="1:1" x14ac:dyDescent="0.2">
      <c r="A113" s="120"/>
    </row>
    <row r="114" spans="1:1" x14ac:dyDescent="0.2">
      <c r="A114" s="120"/>
    </row>
    <row r="115" spans="1:1" x14ac:dyDescent="0.2">
      <c r="A115" s="120"/>
    </row>
    <row r="116" spans="1:1" x14ac:dyDescent="0.2">
      <c r="A116" s="120"/>
    </row>
    <row r="117" spans="1:1" x14ac:dyDescent="0.2">
      <c r="A117" s="120"/>
    </row>
    <row r="118" spans="1:1" x14ac:dyDescent="0.2">
      <c r="A118" s="120"/>
    </row>
    <row r="119" spans="1:1" x14ac:dyDescent="0.2">
      <c r="A119" s="120"/>
    </row>
    <row r="120" spans="1:1" x14ac:dyDescent="0.2">
      <c r="A120" s="120"/>
    </row>
    <row r="121" spans="1:1" x14ac:dyDescent="0.2">
      <c r="A121" s="120"/>
    </row>
    <row r="122" spans="1:1" x14ac:dyDescent="0.2">
      <c r="A122" s="120"/>
    </row>
    <row r="123" spans="1:1" x14ac:dyDescent="0.2">
      <c r="A123" s="120"/>
    </row>
    <row r="124" spans="1:1" x14ac:dyDescent="0.2">
      <c r="A124" s="120"/>
    </row>
    <row r="125" spans="1:1" x14ac:dyDescent="0.2">
      <c r="A125" s="120"/>
    </row>
    <row r="126" spans="1:1" x14ac:dyDescent="0.2">
      <c r="A126" s="120"/>
    </row>
    <row r="127" spans="1:1" x14ac:dyDescent="0.2">
      <c r="A127" s="120"/>
    </row>
    <row r="128" spans="1:1" x14ac:dyDescent="0.2">
      <c r="A128" s="120"/>
    </row>
    <row r="129" spans="1:1" x14ac:dyDescent="0.2">
      <c r="A129" s="120"/>
    </row>
    <row r="130" spans="1:1" x14ac:dyDescent="0.2">
      <c r="A130" s="120"/>
    </row>
    <row r="131" spans="1:1" x14ac:dyDescent="0.2">
      <c r="A131" s="120"/>
    </row>
    <row r="132" spans="1:1" x14ac:dyDescent="0.2">
      <c r="A132" s="120"/>
    </row>
    <row r="133" spans="1:1" x14ac:dyDescent="0.2">
      <c r="A133" s="120"/>
    </row>
    <row r="134" spans="1:1" x14ac:dyDescent="0.2">
      <c r="A134" s="120"/>
    </row>
    <row r="135" spans="1:1" x14ac:dyDescent="0.2">
      <c r="A135" s="120"/>
    </row>
    <row r="136" spans="1:1" x14ac:dyDescent="0.2">
      <c r="A136" s="120"/>
    </row>
    <row r="137" spans="1:1" x14ac:dyDescent="0.2">
      <c r="A137" s="120"/>
    </row>
    <row r="138" spans="1:1" x14ac:dyDescent="0.2">
      <c r="A138" s="120"/>
    </row>
    <row r="139" spans="1:1" x14ac:dyDescent="0.2">
      <c r="A139" s="120"/>
    </row>
    <row r="140" spans="1:1" x14ac:dyDescent="0.2">
      <c r="A140" s="120"/>
    </row>
    <row r="141" spans="1:1" x14ac:dyDescent="0.2">
      <c r="A141" s="120"/>
    </row>
    <row r="142" spans="1:1" x14ac:dyDescent="0.2">
      <c r="A142" s="120"/>
    </row>
    <row r="143" spans="1:1" x14ac:dyDescent="0.2">
      <c r="A143" s="120"/>
    </row>
    <row r="144" spans="1:1" x14ac:dyDescent="0.2">
      <c r="A144" s="120"/>
    </row>
    <row r="145" spans="1:1" x14ac:dyDescent="0.2">
      <c r="A145" s="120"/>
    </row>
    <row r="146" spans="1:1" x14ac:dyDescent="0.2">
      <c r="A146" s="120"/>
    </row>
    <row r="147" spans="1:1" x14ac:dyDescent="0.2">
      <c r="A147" s="120"/>
    </row>
    <row r="148" spans="1:1" x14ac:dyDescent="0.2">
      <c r="A148" s="120"/>
    </row>
    <row r="149" spans="1:1" x14ac:dyDescent="0.2">
      <c r="A149" s="120"/>
    </row>
    <row r="150" spans="1:1" x14ac:dyDescent="0.2">
      <c r="A150" s="120"/>
    </row>
    <row r="151" spans="1:1" x14ac:dyDescent="0.2">
      <c r="A151" s="120"/>
    </row>
    <row r="152" spans="1:1" x14ac:dyDescent="0.2">
      <c r="A152" s="120"/>
    </row>
    <row r="153" spans="1:1" x14ac:dyDescent="0.2">
      <c r="A153" s="120"/>
    </row>
    <row r="154" spans="1:1" x14ac:dyDescent="0.2">
      <c r="A154" s="120"/>
    </row>
    <row r="155" spans="1:1" x14ac:dyDescent="0.2">
      <c r="A155" s="120"/>
    </row>
    <row r="156" spans="1:1" x14ac:dyDescent="0.2">
      <c r="A156" s="120"/>
    </row>
    <row r="157" spans="1:1" x14ac:dyDescent="0.2">
      <c r="A157" s="120"/>
    </row>
    <row r="158" spans="1:1" x14ac:dyDescent="0.2">
      <c r="A158" s="120"/>
    </row>
    <row r="159" spans="1:1" x14ac:dyDescent="0.2">
      <c r="A159" s="120"/>
    </row>
    <row r="160" spans="1:1" x14ac:dyDescent="0.2">
      <c r="A160" s="120"/>
    </row>
    <row r="161" spans="1:1" x14ac:dyDescent="0.2">
      <c r="A161" s="120"/>
    </row>
    <row r="162" spans="1:1" x14ac:dyDescent="0.2">
      <c r="A162" s="120"/>
    </row>
    <row r="163" spans="1:1" x14ac:dyDescent="0.2">
      <c r="A163" s="120"/>
    </row>
    <row r="164" spans="1:1" x14ac:dyDescent="0.2">
      <c r="A164" s="120"/>
    </row>
    <row r="165" spans="1:1" x14ac:dyDescent="0.2">
      <c r="A165" s="120"/>
    </row>
    <row r="166" spans="1:1" x14ac:dyDescent="0.2">
      <c r="A166" s="120"/>
    </row>
    <row r="167" spans="1:1" x14ac:dyDescent="0.2">
      <c r="A167" s="120"/>
    </row>
    <row r="168" spans="1:1" x14ac:dyDescent="0.2">
      <c r="A168" s="120"/>
    </row>
    <row r="169" spans="1:1" x14ac:dyDescent="0.2">
      <c r="A169" s="120"/>
    </row>
    <row r="170" spans="1:1" x14ac:dyDescent="0.2">
      <c r="A170" s="120"/>
    </row>
    <row r="171" spans="1:1" x14ac:dyDescent="0.2">
      <c r="A171" s="120"/>
    </row>
    <row r="172" spans="1:1" x14ac:dyDescent="0.2">
      <c r="A172" s="120"/>
    </row>
    <row r="173" spans="1:1" x14ac:dyDescent="0.2">
      <c r="A173" s="120"/>
    </row>
    <row r="174" spans="1:1" x14ac:dyDescent="0.2">
      <c r="A174" s="120"/>
    </row>
    <row r="175" spans="1:1" x14ac:dyDescent="0.2">
      <c r="A175" s="120"/>
    </row>
    <row r="176" spans="1:1" x14ac:dyDescent="0.2">
      <c r="A176" s="120"/>
    </row>
    <row r="177" spans="1:1" x14ac:dyDescent="0.2">
      <c r="A177" s="120"/>
    </row>
    <row r="178" spans="1:1" x14ac:dyDescent="0.2">
      <c r="A178" s="120"/>
    </row>
    <row r="179" spans="1:1" x14ac:dyDescent="0.2">
      <c r="A179" s="120"/>
    </row>
    <row r="180" spans="1:1" x14ac:dyDescent="0.2">
      <c r="A180" s="120"/>
    </row>
    <row r="181" spans="1:1" x14ac:dyDescent="0.2">
      <c r="A181" s="120"/>
    </row>
    <row r="182" spans="1:1" x14ac:dyDescent="0.2">
      <c r="A182" s="120"/>
    </row>
    <row r="183" spans="1:1" x14ac:dyDescent="0.2">
      <c r="A183" s="120"/>
    </row>
    <row r="184" spans="1:1" x14ac:dyDescent="0.2">
      <c r="A184" s="120"/>
    </row>
    <row r="185" spans="1:1" x14ac:dyDescent="0.2">
      <c r="A185" s="120"/>
    </row>
    <row r="186" spans="1:1" x14ac:dyDescent="0.2">
      <c r="A186" s="120"/>
    </row>
    <row r="187" spans="1:1" x14ac:dyDescent="0.2">
      <c r="A187" s="120"/>
    </row>
    <row r="188" spans="1:1" x14ac:dyDescent="0.2">
      <c r="A188" s="120"/>
    </row>
    <row r="189" spans="1:1" x14ac:dyDescent="0.2">
      <c r="A189" s="120"/>
    </row>
    <row r="190" spans="1:1" x14ac:dyDescent="0.2">
      <c r="A190" s="120"/>
    </row>
    <row r="191" spans="1:1" x14ac:dyDescent="0.2">
      <c r="A191" s="120"/>
    </row>
    <row r="192" spans="1:1" x14ac:dyDescent="0.2">
      <c r="A192" s="120"/>
    </row>
    <row r="193" spans="1:1" x14ac:dyDescent="0.2">
      <c r="A193" s="120"/>
    </row>
    <row r="194" spans="1:1" x14ac:dyDescent="0.2">
      <c r="A194" s="120"/>
    </row>
    <row r="195" spans="1:1" x14ac:dyDescent="0.2">
      <c r="A195" s="120"/>
    </row>
    <row r="196" spans="1:1" x14ac:dyDescent="0.2">
      <c r="A196" s="120"/>
    </row>
    <row r="197" spans="1:1" x14ac:dyDescent="0.2">
      <c r="A197" s="120"/>
    </row>
    <row r="198" spans="1:1" x14ac:dyDescent="0.2">
      <c r="A198" s="120"/>
    </row>
    <row r="199" spans="1:1" x14ac:dyDescent="0.2">
      <c r="A199" s="120"/>
    </row>
    <row r="200" spans="1:1" x14ac:dyDescent="0.2">
      <c r="A200" s="120"/>
    </row>
    <row r="201" spans="1:1" x14ac:dyDescent="0.2">
      <c r="A201" s="120"/>
    </row>
    <row r="202" spans="1:1" x14ac:dyDescent="0.2">
      <c r="A202" s="120"/>
    </row>
    <row r="203" spans="1:1" x14ac:dyDescent="0.2">
      <c r="A203" s="120"/>
    </row>
    <row r="204" spans="1:1" x14ac:dyDescent="0.2">
      <c r="A204" s="120"/>
    </row>
    <row r="205" spans="1:1" x14ac:dyDescent="0.2">
      <c r="A205" s="120"/>
    </row>
    <row r="206" spans="1:1" x14ac:dyDescent="0.2">
      <c r="A206" s="120"/>
    </row>
    <row r="207" spans="1:1" x14ac:dyDescent="0.2">
      <c r="A207" s="120"/>
    </row>
    <row r="208" spans="1:1" x14ac:dyDescent="0.2">
      <c r="A208" s="120"/>
    </row>
    <row r="209" spans="1:1" x14ac:dyDescent="0.2">
      <c r="A209" s="120"/>
    </row>
    <row r="210" spans="1:1" x14ac:dyDescent="0.2">
      <c r="A210" s="120"/>
    </row>
    <row r="211" spans="1:1" x14ac:dyDescent="0.2">
      <c r="A211" s="120"/>
    </row>
    <row r="212" spans="1:1" x14ac:dyDescent="0.2">
      <c r="A212" s="120"/>
    </row>
    <row r="213" spans="1:1" x14ac:dyDescent="0.2">
      <c r="A213" s="120"/>
    </row>
    <row r="214" spans="1:1" x14ac:dyDescent="0.2">
      <c r="A214" s="120"/>
    </row>
    <row r="215" spans="1:1" x14ac:dyDescent="0.2">
      <c r="A215" s="120"/>
    </row>
    <row r="216" spans="1:1" x14ac:dyDescent="0.2">
      <c r="A216" s="120"/>
    </row>
    <row r="217" spans="1:1" x14ac:dyDescent="0.2">
      <c r="A217" s="120"/>
    </row>
    <row r="218" spans="1:1" x14ac:dyDescent="0.2">
      <c r="A218" s="120"/>
    </row>
    <row r="219" spans="1:1" x14ac:dyDescent="0.2">
      <c r="A219" s="120"/>
    </row>
    <row r="220" spans="1:1" x14ac:dyDescent="0.2">
      <c r="A220" s="120"/>
    </row>
    <row r="221" spans="1:1" x14ac:dyDescent="0.2">
      <c r="A221" s="120"/>
    </row>
    <row r="222" spans="1:1" x14ac:dyDescent="0.2">
      <c r="A222" s="120"/>
    </row>
    <row r="223" spans="1:1" x14ac:dyDescent="0.2">
      <c r="A223" s="120"/>
    </row>
    <row r="224" spans="1:1" x14ac:dyDescent="0.2">
      <c r="A224" s="120"/>
    </row>
    <row r="225" spans="1:1" x14ac:dyDescent="0.2">
      <c r="A225" s="120"/>
    </row>
    <row r="226" spans="1:1" x14ac:dyDescent="0.2">
      <c r="A226" s="120"/>
    </row>
    <row r="227" spans="1:1" x14ac:dyDescent="0.2">
      <c r="A227" s="120"/>
    </row>
    <row r="228" spans="1:1" x14ac:dyDescent="0.2">
      <c r="A228" s="120"/>
    </row>
    <row r="229" spans="1:1" x14ac:dyDescent="0.2">
      <c r="A229" s="120"/>
    </row>
    <row r="230" spans="1:1" x14ac:dyDescent="0.2">
      <c r="A230" s="120"/>
    </row>
    <row r="231" spans="1:1" x14ac:dyDescent="0.2">
      <c r="A231" s="120"/>
    </row>
    <row r="232" spans="1:1" x14ac:dyDescent="0.2">
      <c r="A232" s="120"/>
    </row>
    <row r="233" spans="1:1" x14ac:dyDescent="0.2">
      <c r="A233" s="120"/>
    </row>
    <row r="234" spans="1:1" x14ac:dyDescent="0.2">
      <c r="A234" s="120"/>
    </row>
    <row r="235" spans="1:1" x14ac:dyDescent="0.2">
      <c r="A235" s="120"/>
    </row>
    <row r="236" spans="1:1" x14ac:dyDescent="0.2">
      <c r="A236" s="120"/>
    </row>
    <row r="237" spans="1:1" x14ac:dyDescent="0.2">
      <c r="A237" s="120"/>
    </row>
    <row r="238" spans="1:1" x14ac:dyDescent="0.2">
      <c r="A238" s="120"/>
    </row>
    <row r="239" spans="1:1" x14ac:dyDescent="0.2">
      <c r="A239" s="120"/>
    </row>
    <row r="240" spans="1:1" x14ac:dyDescent="0.2">
      <c r="A240" s="120"/>
    </row>
    <row r="241" spans="1:1" x14ac:dyDescent="0.2">
      <c r="A241" s="120"/>
    </row>
    <row r="242" spans="1:1" x14ac:dyDescent="0.2">
      <c r="A242" s="120"/>
    </row>
    <row r="243" spans="1:1" x14ac:dyDescent="0.2">
      <c r="A243" s="120"/>
    </row>
    <row r="244" spans="1:1" x14ac:dyDescent="0.2">
      <c r="A244" s="120"/>
    </row>
    <row r="245" spans="1:1" x14ac:dyDescent="0.2">
      <c r="A245" s="120"/>
    </row>
    <row r="246" spans="1:1" x14ac:dyDescent="0.2">
      <c r="A246" s="120"/>
    </row>
    <row r="247" spans="1:1" x14ac:dyDescent="0.2">
      <c r="A247" s="120"/>
    </row>
    <row r="248" spans="1:1" x14ac:dyDescent="0.2">
      <c r="A248" s="120"/>
    </row>
    <row r="249" spans="1:1" x14ac:dyDescent="0.2">
      <c r="A249" s="120"/>
    </row>
    <row r="250" spans="1:1" x14ac:dyDescent="0.2">
      <c r="A250" s="120"/>
    </row>
    <row r="251" spans="1:1" x14ac:dyDescent="0.2">
      <c r="A251" s="120"/>
    </row>
    <row r="252" spans="1:1" x14ac:dyDescent="0.2">
      <c r="A252" s="120"/>
    </row>
    <row r="253" spans="1:1" x14ac:dyDescent="0.2">
      <c r="A253" s="120"/>
    </row>
    <row r="254" spans="1:1" x14ac:dyDescent="0.2">
      <c r="A254" s="120"/>
    </row>
    <row r="255" spans="1:1" x14ac:dyDescent="0.2">
      <c r="A255" s="120"/>
    </row>
    <row r="256" spans="1:1" x14ac:dyDescent="0.2">
      <c r="A256" s="120"/>
    </row>
    <row r="257" spans="1:1" x14ac:dyDescent="0.2">
      <c r="A257" s="120"/>
    </row>
  </sheetData>
  <phoneticPr fontId="7" type="noConversion"/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50CF-1257-4557-9917-148512E171CD}">
  <sheetPr codeName="Sheet19">
    <tabColor rgb="FFEDFF01"/>
  </sheetPr>
  <dimension ref="A1:C248"/>
  <sheetViews>
    <sheetView zoomScale="120" zoomScaleNormal="120" zoomScaleSheetLayoutView="100" workbookViewId="0">
      <selection activeCell="A2" sqref="A2"/>
    </sheetView>
  </sheetViews>
  <sheetFormatPr defaultRowHeight="12.75" x14ac:dyDescent="0.2"/>
  <sheetData>
    <row r="1" spans="1:3" s="15" customFormat="1" x14ac:dyDescent="0.2">
      <c r="A1" s="15" t="s">
        <v>50</v>
      </c>
      <c r="B1" s="15" t="s">
        <v>51</v>
      </c>
    </row>
    <row r="2" spans="1:3" x14ac:dyDescent="0.2">
      <c r="A2" t="str">
        <f>'JIG DETAIL LABELS'!D2</f>
        <v>-</v>
      </c>
      <c r="B2" s="123">
        <f>'JIG DETAIL LABELS'!C2</f>
        <v>0</v>
      </c>
    </row>
    <row r="3" spans="1:3" x14ac:dyDescent="0.2">
      <c r="A3" t="str">
        <f>'JIG DETAIL LABELS'!D3</f>
        <v>-</v>
      </c>
      <c r="B3" s="123">
        <f>'JIG DETAIL LABELS'!C3</f>
        <v>0</v>
      </c>
    </row>
    <row r="4" spans="1:3" x14ac:dyDescent="0.2">
      <c r="A4" t="str">
        <f>'JIG DETAIL LABELS'!D4</f>
        <v>-</v>
      </c>
      <c r="B4" s="123">
        <f>'JIG DETAIL LABELS'!C4</f>
        <v>0</v>
      </c>
    </row>
    <row r="5" spans="1:3" x14ac:dyDescent="0.2">
      <c r="A5" t="str">
        <f>'JIG DETAIL LABELS'!D5</f>
        <v>-</v>
      </c>
      <c r="B5" s="123">
        <f>'JIG DETAIL LABELS'!C5</f>
        <v>0</v>
      </c>
    </row>
    <row r="6" spans="1:3" x14ac:dyDescent="0.2">
      <c r="A6" t="str">
        <f>'JIG DETAIL LABELS'!D6</f>
        <v>-</v>
      </c>
      <c r="B6" s="123">
        <f>'JIG DETAIL LABELS'!C6</f>
        <v>0</v>
      </c>
    </row>
    <row r="7" spans="1:3" x14ac:dyDescent="0.2">
      <c r="A7" t="str">
        <f>'JIG DETAIL LABELS'!D7</f>
        <v>-</v>
      </c>
      <c r="B7" s="123">
        <f>'JIG DETAIL LABELS'!C7</f>
        <v>0</v>
      </c>
    </row>
    <row r="8" spans="1:3" x14ac:dyDescent="0.2">
      <c r="A8" t="str">
        <f>'JIG DETAIL LABELS'!D8</f>
        <v>-</v>
      </c>
      <c r="B8" s="123">
        <f>'JIG DETAIL LABELS'!C8</f>
        <v>0</v>
      </c>
    </row>
    <row r="9" spans="1:3" x14ac:dyDescent="0.2">
      <c r="A9" t="str">
        <f>'JIG DETAIL LABELS'!D9</f>
        <v>-</v>
      </c>
      <c r="B9" s="123">
        <f>'JIG DETAIL LABELS'!C9</f>
        <v>0</v>
      </c>
    </row>
    <row r="10" spans="1:3" x14ac:dyDescent="0.2">
      <c r="A10" t="str">
        <f>'JIG DETAIL LABELS'!D10</f>
        <v>-</v>
      </c>
      <c r="B10" s="123">
        <f>'JIG DETAIL LABELS'!C10</f>
        <v>0</v>
      </c>
    </row>
    <row r="11" spans="1:3" x14ac:dyDescent="0.2">
      <c r="A11" t="str">
        <f>'JIG DETAIL LABELS'!D11</f>
        <v>-</v>
      </c>
      <c r="B11" s="123">
        <f>'JIG DETAIL LABELS'!C11</f>
        <v>0</v>
      </c>
    </row>
    <row r="12" spans="1:3" x14ac:dyDescent="0.2">
      <c r="A12" t="str">
        <f>'JIG DETAIL LABELS'!D12</f>
        <v>-</v>
      </c>
      <c r="B12" s="123">
        <f>'JIG DETAIL LABELS'!C12</f>
        <v>0</v>
      </c>
    </row>
    <row r="13" spans="1:3" x14ac:dyDescent="0.2">
      <c r="A13" t="str">
        <f>'JIG DETAIL LABELS'!D13</f>
        <v>-</v>
      </c>
      <c r="B13" s="123">
        <f>'JIG DETAIL LABELS'!C13</f>
        <v>0</v>
      </c>
    </row>
    <row r="14" spans="1:3" s="121" customFormat="1" x14ac:dyDescent="0.2">
      <c r="A14"/>
      <c r="B14"/>
      <c r="C14"/>
    </row>
    <row r="15" spans="1:3" s="121" customFormat="1" x14ac:dyDescent="0.2">
      <c r="A15"/>
      <c r="B15"/>
      <c r="C15"/>
    </row>
    <row r="16" spans="1:3" s="121" customFormat="1" x14ac:dyDescent="0.2">
      <c r="A16"/>
      <c r="B16"/>
      <c r="C16"/>
    </row>
    <row r="17" spans="1:3" s="121" customFormat="1" x14ac:dyDescent="0.2">
      <c r="A17"/>
      <c r="B17"/>
      <c r="C17"/>
    </row>
    <row r="18" spans="1:3" s="121" customFormat="1" x14ac:dyDescent="0.2">
      <c r="A18"/>
      <c r="B18"/>
      <c r="C18"/>
    </row>
    <row r="19" spans="1:3" s="121" customFormat="1" x14ac:dyDescent="0.2">
      <c r="A19"/>
      <c r="B19"/>
      <c r="C19"/>
    </row>
    <row r="20" spans="1:3" s="121" customFormat="1" x14ac:dyDescent="0.2">
      <c r="A20"/>
      <c r="B20"/>
      <c r="C20"/>
    </row>
    <row r="21" spans="1:3" s="121" customFormat="1" x14ac:dyDescent="0.2">
      <c r="A21"/>
      <c r="B21"/>
      <c r="C21"/>
    </row>
    <row r="22" spans="1:3" s="121" customFormat="1" x14ac:dyDescent="0.2">
      <c r="A22"/>
      <c r="B22"/>
      <c r="C22"/>
    </row>
    <row r="23" spans="1:3" s="121" customFormat="1" x14ac:dyDescent="0.2">
      <c r="A23"/>
      <c r="B23"/>
      <c r="C23"/>
    </row>
    <row r="24" spans="1:3" s="121" customFormat="1" x14ac:dyDescent="0.2">
      <c r="A24"/>
      <c r="B24"/>
      <c r="C24"/>
    </row>
    <row r="25" spans="1:3" s="121" customFormat="1" x14ac:dyDescent="0.2">
      <c r="A25"/>
      <c r="B25"/>
      <c r="C25"/>
    </row>
    <row r="26" spans="1:3" s="121" customFormat="1" x14ac:dyDescent="0.2">
      <c r="A26"/>
      <c r="B26"/>
      <c r="C26"/>
    </row>
    <row r="27" spans="1:3" s="121" customFormat="1" x14ac:dyDescent="0.2">
      <c r="A27"/>
      <c r="B27"/>
      <c r="C27"/>
    </row>
    <row r="28" spans="1:3" s="121" customFormat="1" x14ac:dyDescent="0.2">
      <c r="A28"/>
      <c r="B28"/>
      <c r="C28"/>
    </row>
    <row r="29" spans="1:3" s="121" customFormat="1" x14ac:dyDescent="0.2">
      <c r="A29"/>
      <c r="B29"/>
      <c r="C29"/>
    </row>
    <row r="30" spans="1:3" s="121" customFormat="1" x14ac:dyDescent="0.2">
      <c r="A30"/>
      <c r="B30"/>
      <c r="C30"/>
    </row>
    <row r="31" spans="1:3" s="121" customFormat="1" x14ac:dyDescent="0.2">
      <c r="A31"/>
      <c r="B31"/>
      <c r="C31"/>
    </row>
    <row r="32" spans="1:3" s="121" customFormat="1" x14ac:dyDescent="0.2">
      <c r="A32"/>
      <c r="B32"/>
      <c r="C32"/>
    </row>
    <row r="33" spans="1:3" s="121" customFormat="1" x14ac:dyDescent="0.2">
      <c r="A33"/>
      <c r="B33"/>
      <c r="C33"/>
    </row>
    <row r="34" spans="1:3" s="121" customFormat="1" x14ac:dyDescent="0.2">
      <c r="A34"/>
      <c r="B34"/>
      <c r="C34"/>
    </row>
    <row r="35" spans="1:3" s="121" customFormat="1" x14ac:dyDescent="0.2">
      <c r="A35"/>
      <c r="B35"/>
      <c r="C35"/>
    </row>
    <row r="36" spans="1:3" s="121" customFormat="1" x14ac:dyDescent="0.2">
      <c r="A36"/>
      <c r="B36"/>
      <c r="C36"/>
    </row>
    <row r="37" spans="1:3" s="121" customFormat="1" x14ac:dyDescent="0.2">
      <c r="A37"/>
      <c r="B37"/>
      <c r="C37"/>
    </row>
    <row r="38" spans="1:3" s="121" customFormat="1" x14ac:dyDescent="0.2">
      <c r="A38"/>
      <c r="B38"/>
      <c r="C38"/>
    </row>
    <row r="39" spans="1:3" s="121" customFormat="1" x14ac:dyDescent="0.2">
      <c r="A39"/>
      <c r="B39"/>
      <c r="C39"/>
    </row>
    <row r="40" spans="1:3" s="121" customFormat="1" x14ac:dyDescent="0.2">
      <c r="A40"/>
      <c r="B40"/>
      <c r="C40"/>
    </row>
    <row r="41" spans="1:3" s="121" customFormat="1" x14ac:dyDescent="0.2">
      <c r="A41"/>
      <c r="B41"/>
      <c r="C41"/>
    </row>
    <row r="42" spans="1:3" s="121" customFormat="1" x14ac:dyDescent="0.2">
      <c r="A42"/>
      <c r="B42"/>
      <c r="C42"/>
    </row>
    <row r="43" spans="1:3" s="121" customFormat="1" x14ac:dyDescent="0.2">
      <c r="A43"/>
      <c r="B43"/>
      <c r="C43"/>
    </row>
    <row r="44" spans="1:3" s="121" customFormat="1" x14ac:dyDescent="0.2">
      <c r="A44"/>
      <c r="B44"/>
      <c r="C44"/>
    </row>
    <row r="45" spans="1:3" s="121" customFormat="1" x14ac:dyDescent="0.2">
      <c r="A45"/>
      <c r="B45"/>
      <c r="C45"/>
    </row>
    <row r="46" spans="1:3" s="121" customFormat="1" x14ac:dyDescent="0.2">
      <c r="A46"/>
      <c r="B46"/>
      <c r="C46"/>
    </row>
    <row r="47" spans="1:3" s="121" customFormat="1" x14ac:dyDescent="0.2">
      <c r="A47"/>
      <c r="B47"/>
      <c r="C47"/>
    </row>
    <row r="48" spans="1:3" s="121" customFormat="1" x14ac:dyDescent="0.2">
      <c r="A48"/>
      <c r="B48"/>
      <c r="C48"/>
    </row>
    <row r="49" spans="1:3" s="121" customFormat="1" x14ac:dyDescent="0.2">
      <c r="A49"/>
      <c r="B49"/>
      <c r="C49"/>
    </row>
    <row r="50" spans="1:3" s="121" customFormat="1" x14ac:dyDescent="0.2">
      <c r="A50"/>
      <c r="B50"/>
      <c r="C50"/>
    </row>
    <row r="51" spans="1:3" s="121" customFormat="1" x14ac:dyDescent="0.2">
      <c r="A51"/>
      <c r="B51"/>
      <c r="C51"/>
    </row>
    <row r="52" spans="1:3" s="121" customFormat="1" x14ac:dyDescent="0.2">
      <c r="A52"/>
      <c r="B52"/>
      <c r="C52"/>
    </row>
    <row r="53" spans="1:3" s="121" customFormat="1" x14ac:dyDescent="0.2">
      <c r="A53"/>
      <c r="B53"/>
      <c r="C53"/>
    </row>
    <row r="54" spans="1:3" s="121" customFormat="1" x14ac:dyDescent="0.2">
      <c r="A54"/>
      <c r="B54"/>
      <c r="C54"/>
    </row>
    <row r="55" spans="1:3" s="121" customFormat="1" x14ac:dyDescent="0.2">
      <c r="A55"/>
      <c r="B55"/>
      <c r="C55"/>
    </row>
    <row r="56" spans="1:3" s="121" customFormat="1" x14ac:dyDescent="0.2">
      <c r="A56"/>
      <c r="B56"/>
      <c r="C56"/>
    </row>
    <row r="57" spans="1:3" s="121" customFormat="1" x14ac:dyDescent="0.2">
      <c r="A57"/>
      <c r="B57"/>
      <c r="C57"/>
    </row>
    <row r="58" spans="1:3" s="121" customFormat="1" x14ac:dyDescent="0.2">
      <c r="A58"/>
      <c r="B58"/>
      <c r="C58"/>
    </row>
    <row r="59" spans="1:3" s="121" customFormat="1" x14ac:dyDescent="0.2">
      <c r="A59"/>
      <c r="B59"/>
      <c r="C59"/>
    </row>
    <row r="60" spans="1:3" s="121" customFormat="1" x14ac:dyDescent="0.2">
      <c r="A60"/>
      <c r="B60"/>
      <c r="C60"/>
    </row>
    <row r="61" spans="1:3" s="121" customFormat="1" x14ac:dyDescent="0.2">
      <c r="A61"/>
      <c r="B61"/>
      <c r="C61"/>
    </row>
    <row r="62" spans="1:3" s="121" customFormat="1" x14ac:dyDescent="0.2">
      <c r="A62"/>
      <c r="B62"/>
      <c r="C62"/>
    </row>
    <row r="63" spans="1:3" s="121" customFormat="1" x14ac:dyDescent="0.2">
      <c r="A63"/>
      <c r="B63"/>
      <c r="C63"/>
    </row>
    <row r="64" spans="1:3" s="121" customFormat="1" x14ac:dyDescent="0.2">
      <c r="A64"/>
      <c r="B64"/>
      <c r="C64"/>
    </row>
    <row r="65" spans="1:3" s="121" customFormat="1" x14ac:dyDescent="0.2">
      <c r="A65"/>
      <c r="B65"/>
      <c r="C65"/>
    </row>
    <row r="66" spans="1:3" s="121" customFormat="1" x14ac:dyDescent="0.2">
      <c r="A66"/>
      <c r="B66"/>
      <c r="C66"/>
    </row>
    <row r="67" spans="1:3" s="121" customFormat="1" x14ac:dyDescent="0.2">
      <c r="A67"/>
      <c r="B67"/>
      <c r="C67"/>
    </row>
    <row r="68" spans="1:3" s="121" customFormat="1" x14ac:dyDescent="0.2">
      <c r="A68"/>
      <c r="B68"/>
      <c r="C68"/>
    </row>
    <row r="69" spans="1:3" s="121" customFormat="1" x14ac:dyDescent="0.2">
      <c r="A69"/>
      <c r="B69"/>
      <c r="C69"/>
    </row>
    <row r="70" spans="1:3" s="121" customFormat="1" x14ac:dyDescent="0.2">
      <c r="A70"/>
      <c r="B70"/>
      <c r="C70"/>
    </row>
    <row r="71" spans="1:3" s="121" customFormat="1" x14ac:dyDescent="0.2">
      <c r="A71"/>
      <c r="B71"/>
      <c r="C71"/>
    </row>
    <row r="72" spans="1:3" s="121" customFormat="1" x14ac:dyDescent="0.2">
      <c r="A72"/>
      <c r="B72"/>
      <c r="C72"/>
    </row>
    <row r="73" spans="1:3" s="121" customFormat="1" x14ac:dyDescent="0.2">
      <c r="A73"/>
      <c r="B73"/>
      <c r="C73"/>
    </row>
    <row r="74" spans="1:3" s="121" customFormat="1" x14ac:dyDescent="0.2">
      <c r="A74"/>
      <c r="B74"/>
      <c r="C74"/>
    </row>
    <row r="75" spans="1:3" s="121" customFormat="1" x14ac:dyDescent="0.2">
      <c r="A75"/>
      <c r="B75"/>
      <c r="C75"/>
    </row>
    <row r="76" spans="1:3" s="121" customFormat="1" x14ac:dyDescent="0.2">
      <c r="A76"/>
      <c r="B76"/>
      <c r="C76"/>
    </row>
    <row r="77" spans="1:3" s="121" customFormat="1" x14ac:dyDescent="0.2">
      <c r="A77"/>
      <c r="B77"/>
      <c r="C77"/>
    </row>
    <row r="78" spans="1:3" s="121" customFormat="1" x14ac:dyDescent="0.2">
      <c r="A78"/>
      <c r="B78"/>
      <c r="C78"/>
    </row>
    <row r="79" spans="1:3" s="121" customFormat="1" x14ac:dyDescent="0.2">
      <c r="A79"/>
      <c r="B79"/>
      <c r="C79"/>
    </row>
    <row r="80" spans="1:3" s="121" customFormat="1" x14ac:dyDescent="0.2">
      <c r="A80"/>
      <c r="B80"/>
      <c r="C80"/>
    </row>
    <row r="81" spans="1:3" s="121" customFormat="1" x14ac:dyDescent="0.2">
      <c r="A81"/>
      <c r="B81"/>
      <c r="C81"/>
    </row>
    <row r="82" spans="1:3" s="121" customFormat="1" x14ac:dyDescent="0.2">
      <c r="A82"/>
      <c r="B82"/>
      <c r="C82"/>
    </row>
    <row r="83" spans="1:3" s="121" customFormat="1" x14ac:dyDescent="0.2">
      <c r="A83"/>
      <c r="B83"/>
      <c r="C83"/>
    </row>
    <row r="84" spans="1:3" s="121" customFormat="1" x14ac:dyDescent="0.2">
      <c r="A84"/>
      <c r="B84"/>
      <c r="C84"/>
    </row>
    <row r="85" spans="1:3" s="121" customFormat="1" x14ac:dyDescent="0.2">
      <c r="A85"/>
      <c r="B85"/>
      <c r="C85"/>
    </row>
    <row r="86" spans="1:3" s="121" customFormat="1" x14ac:dyDescent="0.2">
      <c r="A86"/>
      <c r="B86"/>
      <c r="C86"/>
    </row>
    <row r="87" spans="1:3" s="121" customFormat="1" x14ac:dyDescent="0.2">
      <c r="A87"/>
      <c r="B87"/>
      <c r="C87"/>
    </row>
    <row r="88" spans="1:3" s="121" customFormat="1" x14ac:dyDescent="0.2">
      <c r="A88"/>
      <c r="B88"/>
      <c r="C88"/>
    </row>
    <row r="89" spans="1:3" s="121" customFormat="1" x14ac:dyDescent="0.2">
      <c r="A89"/>
      <c r="B89"/>
      <c r="C89"/>
    </row>
    <row r="90" spans="1:3" s="121" customFormat="1" x14ac:dyDescent="0.2">
      <c r="A90"/>
      <c r="B90"/>
      <c r="C90"/>
    </row>
    <row r="91" spans="1:3" s="121" customFormat="1" x14ac:dyDescent="0.2">
      <c r="A91"/>
      <c r="B91"/>
      <c r="C91"/>
    </row>
    <row r="92" spans="1:3" s="121" customFormat="1" x14ac:dyDescent="0.2">
      <c r="A92"/>
      <c r="B92"/>
      <c r="C92"/>
    </row>
    <row r="93" spans="1:3" s="121" customFormat="1" x14ac:dyDescent="0.2">
      <c r="A93"/>
      <c r="B93"/>
      <c r="C93"/>
    </row>
    <row r="94" spans="1:3" s="121" customFormat="1" x14ac:dyDescent="0.2">
      <c r="A94"/>
      <c r="B94"/>
      <c r="C94"/>
    </row>
    <row r="95" spans="1:3" s="121" customFormat="1" x14ac:dyDescent="0.2">
      <c r="A95"/>
      <c r="B95"/>
      <c r="C95"/>
    </row>
    <row r="96" spans="1:3" s="121" customFormat="1" x14ac:dyDescent="0.2">
      <c r="A96"/>
      <c r="B96"/>
      <c r="C96"/>
    </row>
    <row r="97" spans="1:3" s="121" customFormat="1" x14ac:dyDescent="0.2">
      <c r="A97"/>
      <c r="B97"/>
      <c r="C97"/>
    </row>
    <row r="98" spans="1:3" s="121" customFormat="1" x14ac:dyDescent="0.2">
      <c r="A98"/>
      <c r="B98"/>
      <c r="C98"/>
    </row>
    <row r="99" spans="1:3" s="121" customFormat="1" x14ac:dyDescent="0.2">
      <c r="A99"/>
      <c r="B99"/>
      <c r="C99"/>
    </row>
    <row r="100" spans="1:3" s="121" customFormat="1" x14ac:dyDescent="0.2">
      <c r="A100"/>
      <c r="B100"/>
      <c r="C100"/>
    </row>
    <row r="101" spans="1:3" s="121" customFormat="1" x14ac:dyDescent="0.2">
      <c r="A101"/>
      <c r="B101"/>
      <c r="C101"/>
    </row>
    <row r="102" spans="1:3" s="121" customFormat="1" x14ac:dyDescent="0.2">
      <c r="A102"/>
      <c r="B102"/>
      <c r="C102"/>
    </row>
    <row r="103" spans="1:3" s="121" customFormat="1" x14ac:dyDescent="0.2">
      <c r="A103"/>
      <c r="B103"/>
      <c r="C103"/>
    </row>
    <row r="104" spans="1:3" s="121" customFormat="1" x14ac:dyDescent="0.2">
      <c r="A104"/>
      <c r="B104"/>
      <c r="C104"/>
    </row>
    <row r="105" spans="1:3" s="121" customFormat="1" x14ac:dyDescent="0.2">
      <c r="A105"/>
      <c r="B105"/>
      <c r="C105"/>
    </row>
    <row r="106" spans="1:3" s="121" customFormat="1" x14ac:dyDescent="0.2">
      <c r="A106"/>
      <c r="B106"/>
      <c r="C106"/>
    </row>
    <row r="107" spans="1:3" s="121" customFormat="1" x14ac:dyDescent="0.2">
      <c r="A107"/>
      <c r="B107"/>
      <c r="C107"/>
    </row>
    <row r="108" spans="1:3" s="121" customFormat="1" x14ac:dyDescent="0.2">
      <c r="A108"/>
      <c r="B108"/>
      <c r="C108"/>
    </row>
    <row r="109" spans="1:3" s="121" customFormat="1" x14ac:dyDescent="0.2">
      <c r="A109"/>
      <c r="B109"/>
      <c r="C109"/>
    </row>
    <row r="110" spans="1:3" s="121" customFormat="1" x14ac:dyDescent="0.2">
      <c r="A110"/>
      <c r="B110"/>
      <c r="C110"/>
    </row>
    <row r="111" spans="1:3" s="121" customFormat="1" x14ac:dyDescent="0.2">
      <c r="A111"/>
      <c r="B111"/>
      <c r="C111"/>
    </row>
    <row r="112" spans="1:3" s="121" customFormat="1" x14ac:dyDescent="0.2">
      <c r="A112"/>
      <c r="B112"/>
      <c r="C112"/>
    </row>
    <row r="113" spans="1:3" s="121" customFormat="1" x14ac:dyDescent="0.2">
      <c r="A113"/>
      <c r="B113"/>
      <c r="C113"/>
    </row>
    <row r="114" spans="1:3" s="121" customFormat="1" x14ac:dyDescent="0.2">
      <c r="A114"/>
      <c r="B114"/>
      <c r="C114"/>
    </row>
    <row r="115" spans="1:3" s="121" customFormat="1" x14ac:dyDescent="0.2">
      <c r="A115"/>
      <c r="B115"/>
      <c r="C115"/>
    </row>
    <row r="116" spans="1:3" s="121" customFormat="1" x14ac:dyDescent="0.2">
      <c r="A116"/>
      <c r="B116"/>
      <c r="C116"/>
    </row>
    <row r="117" spans="1:3" s="121" customFormat="1" x14ac:dyDescent="0.2">
      <c r="A117"/>
      <c r="B117"/>
      <c r="C117"/>
    </row>
    <row r="118" spans="1:3" s="121" customFormat="1" x14ac:dyDescent="0.2">
      <c r="A118"/>
      <c r="B118"/>
      <c r="C118"/>
    </row>
    <row r="119" spans="1:3" s="121" customFormat="1" x14ac:dyDescent="0.2">
      <c r="A119"/>
      <c r="B119"/>
      <c r="C119"/>
    </row>
    <row r="120" spans="1:3" s="121" customFormat="1" x14ac:dyDescent="0.2">
      <c r="A120"/>
      <c r="B120"/>
      <c r="C120"/>
    </row>
    <row r="121" spans="1:3" s="121" customFormat="1" x14ac:dyDescent="0.2">
      <c r="A121"/>
      <c r="B121"/>
      <c r="C121"/>
    </row>
    <row r="122" spans="1:3" s="121" customFormat="1" x14ac:dyDescent="0.2">
      <c r="A122"/>
      <c r="B122"/>
      <c r="C122"/>
    </row>
    <row r="123" spans="1:3" s="121" customFormat="1" x14ac:dyDescent="0.2">
      <c r="A123"/>
      <c r="B123"/>
      <c r="C123"/>
    </row>
    <row r="124" spans="1:3" s="121" customFormat="1" x14ac:dyDescent="0.2">
      <c r="A124"/>
      <c r="B124"/>
      <c r="C124"/>
    </row>
    <row r="125" spans="1:3" s="121" customFormat="1" x14ac:dyDescent="0.2">
      <c r="A125"/>
      <c r="B125"/>
      <c r="C125"/>
    </row>
    <row r="126" spans="1:3" s="121" customFormat="1" x14ac:dyDescent="0.2">
      <c r="A126"/>
      <c r="B126"/>
      <c r="C126"/>
    </row>
    <row r="127" spans="1:3" s="121" customFormat="1" x14ac:dyDescent="0.2">
      <c r="A127"/>
      <c r="B127"/>
      <c r="C127"/>
    </row>
    <row r="128" spans="1:3" s="121" customFormat="1" x14ac:dyDescent="0.2">
      <c r="A128"/>
      <c r="B128"/>
      <c r="C128"/>
    </row>
    <row r="129" spans="1:3" s="121" customFormat="1" x14ac:dyDescent="0.2">
      <c r="A129"/>
      <c r="B129"/>
      <c r="C129"/>
    </row>
    <row r="130" spans="1:3" s="121" customFormat="1" x14ac:dyDescent="0.2">
      <c r="A130"/>
      <c r="B130"/>
      <c r="C130"/>
    </row>
    <row r="131" spans="1:3" s="121" customFormat="1" x14ac:dyDescent="0.2">
      <c r="A131"/>
      <c r="B131"/>
      <c r="C131"/>
    </row>
    <row r="132" spans="1:3" s="121" customFormat="1" x14ac:dyDescent="0.2">
      <c r="A132"/>
      <c r="B132"/>
      <c r="C132"/>
    </row>
    <row r="133" spans="1:3" s="121" customFormat="1" x14ac:dyDescent="0.2">
      <c r="A133"/>
      <c r="B133"/>
      <c r="C133"/>
    </row>
    <row r="134" spans="1:3" s="121" customFormat="1" x14ac:dyDescent="0.2">
      <c r="A134"/>
      <c r="B134"/>
      <c r="C134"/>
    </row>
    <row r="135" spans="1:3" s="121" customFormat="1" x14ac:dyDescent="0.2">
      <c r="A135"/>
      <c r="B135"/>
      <c r="C135"/>
    </row>
    <row r="136" spans="1:3" s="121" customFormat="1" x14ac:dyDescent="0.2">
      <c r="A136"/>
      <c r="B136"/>
      <c r="C136"/>
    </row>
    <row r="137" spans="1:3" s="121" customFormat="1" x14ac:dyDescent="0.2">
      <c r="A137"/>
      <c r="B137"/>
      <c r="C137"/>
    </row>
    <row r="138" spans="1:3" s="121" customFormat="1" x14ac:dyDescent="0.2">
      <c r="A138"/>
      <c r="B138"/>
      <c r="C138"/>
    </row>
    <row r="139" spans="1:3" s="121" customFormat="1" x14ac:dyDescent="0.2">
      <c r="A139"/>
      <c r="B139"/>
      <c r="C139"/>
    </row>
    <row r="140" spans="1:3" s="121" customFormat="1" x14ac:dyDescent="0.2">
      <c r="A140"/>
      <c r="B140"/>
      <c r="C140"/>
    </row>
    <row r="141" spans="1:3" s="121" customFormat="1" x14ac:dyDescent="0.2">
      <c r="A141"/>
      <c r="B141"/>
      <c r="C141"/>
    </row>
    <row r="142" spans="1:3" s="121" customFormat="1" x14ac:dyDescent="0.2">
      <c r="A142"/>
      <c r="B142"/>
      <c r="C142"/>
    </row>
    <row r="143" spans="1:3" s="121" customFormat="1" x14ac:dyDescent="0.2">
      <c r="A143"/>
      <c r="B143"/>
      <c r="C143"/>
    </row>
    <row r="144" spans="1:3" s="121" customFormat="1" x14ac:dyDescent="0.2">
      <c r="A144"/>
      <c r="B144"/>
      <c r="C144"/>
    </row>
    <row r="145" spans="1:3" s="121" customFormat="1" x14ac:dyDescent="0.2">
      <c r="A145"/>
      <c r="B145"/>
      <c r="C145"/>
    </row>
    <row r="146" spans="1:3" s="121" customFormat="1" x14ac:dyDescent="0.2">
      <c r="A146"/>
      <c r="B146"/>
      <c r="C146"/>
    </row>
    <row r="147" spans="1:3" s="121" customFormat="1" x14ac:dyDescent="0.2">
      <c r="A147"/>
      <c r="B147"/>
      <c r="C147"/>
    </row>
    <row r="148" spans="1:3" s="121" customFormat="1" x14ac:dyDescent="0.2">
      <c r="A148"/>
      <c r="B148"/>
      <c r="C148"/>
    </row>
    <row r="149" spans="1:3" s="121" customFormat="1" x14ac:dyDescent="0.2">
      <c r="A149"/>
      <c r="B149"/>
      <c r="C149"/>
    </row>
    <row r="150" spans="1:3" s="121" customFormat="1" x14ac:dyDescent="0.2">
      <c r="A150"/>
      <c r="B150"/>
      <c r="C150"/>
    </row>
    <row r="151" spans="1:3" s="121" customFormat="1" x14ac:dyDescent="0.2">
      <c r="A151"/>
      <c r="B151"/>
      <c r="C151"/>
    </row>
    <row r="152" spans="1:3" s="121" customFormat="1" x14ac:dyDescent="0.2">
      <c r="A152"/>
      <c r="B152"/>
      <c r="C152"/>
    </row>
    <row r="153" spans="1:3" s="121" customFormat="1" x14ac:dyDescent="0.2">
      <c r="A153"/>
      <c r="B153"/>
      <c r="C153"/>
    </row>
    <row r="154" spans="1:3" s="121" customFormat="1" x14ac:dyDescent="0.2">
      <c r="A154"/>
      <c r="B154"/>
      <c r="C154"/>
    </row>
    <row r="155" spans="1:3" s="121" customFormat="1" x14ac:dyDescent="0.2">
      <c r="A155"/>
      <c r="B155"/>
      <c r="C155"/>
    </row>
    <row r="156" spans="1:3" s="121" customFormat="1" x14ac:dyDescent="0.2">
      <c r="A156"/>
      <c r="B156"/>
      <c r="C156"/>
    </row>
    <row r="157" spans="1:3" s="121" customFormat="1" x14ac:dyDescent="0.2">
      <c r="A157"/>
      <c r="B157"/>
      <c r="C157"/>
    </row>
    <row r="158" spans="1:3" s="121" customFormat="1" x14ac:dyDescent="0.2">
      <c r="A158"/>
      <c r="B158"/>
      <c r="C158"/>
    </row>
    <row r="159" spans="1:3" s="121" customFormat="1" x14ac:dyDescent="0.2">
      <c r="A159"/>
      <c r="B159"/>
      <c r="C159"/>
    </row>
    <row r="160" spans="1:3" s="121" customFormat="1" x14ac:dyDescent="0.2">
      <c r="A160"/>
      <c r="B160"/>
      <c r="C160"/>
    </row>
    <row r="161" spans="1:3" s="121" customFormat="1" x14ac:dyDescent="0.2">
      <c r="A161"/>
      <c r="B161"/>
      <c r="C161"/>
    </row>
    <row r="162" spans="1:3" s="121" customFormat="1" x14ac:dyDescent="0.2">
      <c r="A162"/>
      <c r="B162"/>
      <c r="C162"/>
    </row>
    <row r="163" spans="1:3" s="121" customFormat="1" x14ac:dyDescent="0.2">
      <c r="A163"/>
      <c r="B163"/>
      <c r="C163"/>
    </row>
    <row r="164" spans="1:3" s="121" customFormat="1" x14ac:dyDescent="0.2">
      <c r="A164"/>
      <c r="B164"/>
      <c r="C164"/>
    </row>
    <row r="165" spans="1:3" s="121" customFormat="1" x14ac:dyDescent="0.2">
      <c r="A165"/>
      <c r="B165"/>
      <c r="C165"/>
    </row>
    <row r="166" spans="1:3" s="121" customFormat="1" x14ac:dyDescent="0.2">
      <c r="A166"/>
      <c r="B166"/>
      <c r="C166"/>
    </row>
    <row r="167" spans="1:3" s="121" customFormat="1" x14ac:dyDescent="0.2">
      <c r="A167"/>
      <c r="B167"/>
      <c r="C167"/>
    </row>
    <row r="168" spans="1:3" s="121" customFormat="1" x14ac:dyDescent="0.2">
      <c r="A168"/>
      <c r="B168"/>
      <c r="C168"/>
    </row>
    <row r="169" spans="1:3" s="121" customFormat="1" x14ac:dyDescent="0.2">
      <c r="A169"/>
      <c r="B169"/>
      <c r="C169"/>
    </row>
    <row r="170" spans="1:3" s="121" customFormat="1" x14ac:dyDescent="0.2">
      <c r="A170"/>
      <c r="B170"/>
      <c r="C170"/>
    </row>
    <row r="171" spans="1:3" s="121" customFormat="1" x14ac:dyDescent="0.2">
      <c r="A171"/>
      <c r="B171"/>
      <c r="C171"/>
    </row>
    <row r="172" spans="1:3" s="121" customFormat="1" x14ac:dyDescent="0.2">
      <c r="A172"/>
      <c r="B172"/>
      <c r="C172"/>
    </row>
    <row r="173" spans="1:3" s="121" customFormat="1" x14ac:dyDescent="0.2">
      <c r="A173"/>
      <c r="B173"/>
      <c r="C173"/>
    </row>
    <row r="174" spans="1:3" s="121" customFormat="1" x14ac:dyDescent="0.2">
      <c r="A174"/>
      <c r="B174"/>
      <c r="C174"/>
    </row>
    <row r="175" spans="1:3" s="121" customFormat="1" x14ac:dyDescent="0.2">
      <c r="A175"/>
      <c r="B175"/>
      <c r="C175"/>
    </row>
    <row r="176" spans="1:3" s="121" customFormat="1" x14ac:dyDescent="0.2">
      <c r="A176"/>
      <c r="B176"/>
      <c r="C176"/>
    </row>
    <row r="177" spans="1:3" s="121" customFormat="1" x14ac:dyDescent="0.2">
      <c r="A177"/>
      <c r="B177"/>
      <c r="C177"/>
    </row>
    <row r="178" spans="1:3" s="121" customFormat="1" x14ac:dyDescent="0.2">
      <c r="A178"/>
      <c r="B178"/>
      <c r="C178"/>
    </row>
    <row r="179" spans="1:3" s="121" customFormat="1" x14ac:dyDescent="0.2">
      <c r="A179"/>
      <c r="B179"/>
      <c r="C179"/>
    </row>
    <row r="180" spans="1:3" s="121" customFormat="1" x14ac:dyDescent="0.2">
      <c r="A180"/>
      <c r="B180"/>
      <c r="C180"/>
    </row>
    <row r="181" spans="1:3" s="121" customFormat="1" x14ac:dyDescent="0.2">
      <c r="A181"/>
      <c r="B181"/>
      <c r="C181"/>
    </row>
    <row r="182" spans="1:3" s="121" customFormat="1" x14ac:dyDescent="0.2">
      <c r="A182"/>
      <c r="B182"/>
      <c r="C182"/>
    </row>
    <row r="183" spans="1:3" s="121" customFormat="1" x14ac:dyDescent="0.2">
      <c r="A183"/>
      <c r="B183"/>
      <c r="C183"/>
    </row>
    <row r="184" spans="1:3" s="121" customFormat="1" x14ac:dyDescent="0.2">
      <c r="A184"/>
      <c r="B184"/>
      <c r="C184"/>
    </row>
    <row r="185" spans="1:3" s="121" customFormat="1" x14ac:dyDescent="0.2">
      <c r="A185"/>
      <c r="B185"/>
      <c r="C185"/>
    </row>
    <row r="186" spans="1:3" s="121" customFormat="1" x14ac:dyDescent="0.2">
      <c r="A186"/>
      <c r="B186"/>
      <c r="C186"/>
    </row>
    <row r="187" spans="1:3" s="121" customFormat="1" x14ac:dyDescent="0.2">
      <c r="A187"/>
      <c r="B187"/>
      <c r="C187"/>
    </row>
    <row r="188" spans="1:3" s="121" customFormat="1" x14ac:dyDescent="0.2">
      <c r="A188"/>
      <c r="B188"/>
      <c r="C188"/>
    </row>
    <row r="189" spans="1:3" s="121" customFormat="1" x14ac:dyDescent="0.2">
      <c r="A189"/>
      <c r="B189"/>
      <c r="C189"/>
    </row>
    <row r="190" spans="1:3" s="121" customFormat="1" x14ac:dyDescent="0.2">
      <c r="A190"/>
      <c r="B190"/>
      <c r="C190"/>
    </row>
    <row r="191" spans="1:3" s="121" customFormat="1" x14ac:dyDescent="0.2">
      <c r="A191"/>
      <c r="B191"/>
      <c r="C191"/>
    </row>
    <row r="192" spans="1:3" s="121" customFormat="1" x14ac:dyDescent="0.2">
      <c r="A192"/>
      <c r="B192"/>
      <c r="C192"/>
    </row>
    <row r="193" spans="1:3" s="121" customFormat="1" x14ac:dyDescent="0.2">
      <c r="A193"/>
      <c r="B193"/>
      <c r="C193"/>
    </row>
    <row r="194" spans="1:3" s="121" customFormat="1" x14ac:dyDescent="0.2">
      <c r="A194"/>
      <c r="B194"/>
      <c r="C194"/>
    </row>
    <row r="195" spans="1:3" s="121" customFormat="1" x14ac:dyDescent="0.2">
      <c r="A195"/>
      <c r="B195"/>
      <c r="C195"/>
    </row>
    <row r="196" spans="1:3" s="121" customFormat="1" x14ac:dyDescent="0.2">
      <c r="A196"/>
      <c r="B196"/>
      <c r="C196"/>
    </row>
    <row r="197" spans="1:3" s="121" customFormat="1" x14ac:dyDescent="0.2">
      <c r="A197"/>
      <c r="B197"/>
      <c r="C197"/>
    </row>
    <row r="198" spans="1:3" s="121" customFormat="1" x14ac:dyDescent="0.2">
      <c r="A198"/>
      <c r="B198"/>
      <c r="C198"/>
    </row>
    <row r="199" spans="1:3" s="121" customFormat="1" x14ac:dyDescent="0.2">
      <c r="A199"/>
      <c r="B199"/>
      <c r="C199"/>
    </row>
    <row r="200" spans="1:3" s="121" customFormat="1" x14ac:dyDescent="0.2">
      <c r="A200"/>
      <c r="B200"/>
      <c r="C200"/>
    </row>
    <row r="201" spans="1:3" s="121" customFormat="1" x14ac:dyDescent="0.2">
      <c r="A201"/>
      <c r="B201"/>
      <c r="C201"/>
    </row>
    <row r="202" spans="1:3" s="121" customFormat="1" x14ac:dyDescent="0.2">
      <c r="A202"/>
      <c r="B202"/>
      <c r="C202"/>
    </row>
    <row r="203" spans="1:3" s="121" customFormat="1" x14ac:dyDescent="0.2">
      <c r="A203"/>
      <c r="B203"/>
      <c r="C203"/>
    </row>
    <row r="204" spans="1:3" s="121" customFormat="1" x14ac:dyDescent="0.2">
      <c r="A204"/>
      <c r="B204"/>
      <c r="C204"/>
    </row>
    <row r="205" spans="1:3" s="121" customFormat="1" x14ac:dyDescent="0.2">
      <c r="A205"/>
      <c r="B205"/>
      <c r="C205"/>
    </row>
    <row r="206" spans="1:3" s="121" customFormat="1" x14ac:dyDescent="0.2">
      <c r="A206"/>
      <c r="B206"/>
      <c r="C206"/>
    </row>
    <row r="207" spans="1:3" s="121" customFormat="1" x14ac:dyDescent="0.2">
      <c r="A207"/>
      <c r="B207"/>
      <c r="C207"/>
    </row>
    <row r="208" spans="1:3" s="121" customFormat="1" x14ac:dyDescent="0.2">
      <c r="A208"/>
      <c r="B208"/>
      <c r="C208"/>
    </row>
    <row r="209" spans="1:3" s="121" customFormat="1" x14ac:dyDescent="0.2">
      <c r="A209"/>
      <c r="B209"/>
      <c r="C209"/>
    </row>
    <row r="210" spans="1:3" s="121" customFormat="1" x14ac:dyDescent="0.2">
      <c r="A210"/>
      <c r="B210"/>
      <c r="C210"/>
    </row>
    <row r="211" spans="1:3" s="121" customFormat="1" x14ac:dyDescent="0.2">
      <c r="A211"/>
      <c r="B211"/>
      <c r="C211"/>
    </row>
    <row r="212" spans="1:3" s="121" customFormat="1" x14ac:dyDescent="0.2">
      <c r="A212"/>
      <c r="B212"/>
      <c r="C212"/>
    </row>
    <row r="213" spans="1:3" s="121" customFormat="1" x14ac:dyDescent="0.2">
      <c r="A213"/>
      <c r="B213"/>
      <c r="C213"/>
    </row>
    <row r="214" spans="1:3" s="121" customFormat="1" x14ac:dyDescent="0.2">
      <c r="A214"/>
      <c r="B214"/>
      <c r="C214"/>
    </row>
    <row r="215" spans="1:3" s="121" customFormat="1" x14ac:dyDescent="0.2">
      <c r="A215"/>
      <c r="B215"/>
      <c r="C215"/>
    </row>
    <row r="216" spans="1:3" s="121" customFormat="1" x14ac:dyDescent="0.2">
      <c r="A216"/>
      <c r="B216"/>
      <c r="C216"/>
    </row>
    <row r="217" spans="1:3" s="121" customFormat="1" x14ac:dyDescent="0.2">
      <c r="A217"/>
      <c r="B217"/>
      <c r="C217"/>
    </row>
    <row r="218" spans="1:3" s="121" customFormat="1" x14ac:dyDescent="0.2">
      <c r="A218"/>
      <c r="B218"/>
      <c r="C218"/>
    </row>
    <row r="219" spans="1:3" s="121" customFormat="1" x14ac:dyDescent="0.2">
      <c r="A219"/>
      <c r="B219"/>
      <c r="C219"/>
    </row>
    <row r="220" spans="1:3" s="121" customFormat="1" x14ac:dyDescent="0.2">
      <c r="A220"/>
      <c r="B220"/>
      <c r="C220"/>
    </row>
    <row r="221" spans="1:3" s="121" customFormat="1" x14ac:dyDescent="0.2">
      <c r="A221"/>
      <c r="B221"/>
      <c r="C221"/>
    </row>
    <row r="222" spans="1:3" s="121" customFormat="1" x14ac:dyDescent="0.2">
      <c r="A222"/>
      <c r="B222"/>
      <c r="C222"/>
    </row>
    <row r="223" spans="1:3" s="121" customFormat="1" x14ac:dyDescent="0.2">
      <c r="A223"/>
      <c r="B223"/>
      <c r="C223"/>
    </row>
    <row r="224" spans="1:3" s="121" customFormat="1" x14ac:dyDescent="0.2">
      <c r="A224"/>
      <c r="B224"/>
      <c r="C224"/>
    </row>
    <row r="225" spans="1:3" s="121" customFormat="1" x14ac:dyDescent="0.2">
      <c r="A225"/>
      <c r="B225"/>
      <c r="C225"/>
    </row>
    <row r="226" spans="1:3" s="121" customFormat="1" x14ac:dyDescent="0.2">
      <c r="A226"/>
      <c r="B226"/>
      <c r="C226"/>
    </row>
    <row r="227" spans="1:3" s="121" customFormat="1" x14ac:dyDescent="0.2">
      <c r="A227"/>
      <c r="B227"/>
      <c r="C227"/>
    </row>
    <row r="228" spans="1:3" s="121" customFormat="1" x14ac:dyDescent="0.2">
      <c r="A228"/>
      <c r="B228"/>
      <c r="C228"/>
    </row>
    <row r="229" spans="1:3" s="121" customFormat="1" x14ac:dyDescent="0.2">
      <c r="A229"/>
      <c r="B229"/>
      <c r="C229"/>
    </row>
    <row r="230" spans="1:3" s="121" customFormat="1" x14ac:dyDescent="0.2">
      <c r="A230"/>
      <c r="B230"/>
      <c r="C230"/>
    </row>
    <row r="231" spans="1:3" s="121" customFormat="1" x14ac:dyDescent="0.2">
      <c r="A231"/>
      <c r="B231"/>
      <c r="C231"/>
    </row>
    <row r="232" spans="1:3" s="121" customFormat="1" x14ac:dyDescent="0.2">
      <c r="A232"/>
      <c r="B232"/>
      <c r="C232"/>
    </row>
    <row r="233" spans="1:3" s="121" customFormat="1" x14ac:dyDescent="0.2">
      <c r="A233"/>
      <c r="B233"/>
      <c r="C233"/>
    </row>
    <row r="234" spans="1:3" s="121" customFormat="1" x14ac:dyDescent="0.2">
      <c r="A234"/>
      <c r="B234"/>
      <c r="C234"/>
    </row>
    <row r="235" spans="1:3" s="121" customFormat="1" x14ac:dyDescent="0.2">
      <c r="A235"/>
      <c r="B235"/>
      <c r="C235"/>
    </row>
    <row r="236" spans="1:3" s="121" customFormat="1" x14ac:dyDescent="0.2">
      <c r="A236"/>
      <c r="B236"/>
      <c r="C236"/>
    </row>
    <row r="237" spans="1:3" s="121" customFormat="1" x14ac:dyDescent="0.2">
      <c r="A237"/>
      <c r="B237"/>
      <c r="C237"/>
    </row>
    <row r="238" spans="1:3" s="121" customFormat="1" x14ac:dyDescent="0.2">
      <c r="A238"/>
      <c r="B238"/>
      <c r="C238"/>
    </row>
    <row r="239" spans="1:3" s="121" customFormat="1" x14ac:dyDescent="0.2">
      <c r="A239"/>
      <c r="B239"/>
      <c r="C239"/>
    </row>
    <row r="240" spans="1:3" s="121" customFormat="1" x14ac:dyDescent="0.2">
      <c r="A240"/>
      <c r="B240"/>
      <c r="C240"/>
    </row>
    <row r="241" spans="1:3" s="121" customFormat="1" x14ac:dyDescent="0.2">
      <c r="A241"/>
      <c r="B241"/>
      <c r="C241"/>
    </row>
    <row r="242" spans="1:3" s="121" customFormat="1" x14ac:dyDescent="0.2">
      <c r="A242"/>
      <c r="B242"/>
      <c r="C242"/>
    </row>
    <row r="243" spans="1:3" s="121" customFormat="1" x14ac:dyDescent="0.2">
      <c r="A243"/>
      <c r="B243"/>
      <c r="C243"/>
    </row>
    <row r="244" spans="1:3" s="121" customFormat="1" x14ac:dyDescent="0.2">
      <c r="A244"/>
      <c r="B244"/>
      <c r="C244"/>
    </row>
    <row r="245" spans="1:3" s="121" customFormat="1" x14ac:dyDescent="0.2">
      <c r="A245"/>
      <c r="B245"/>
      <c r="C245"/>
    </row>
    <row r="246" spans="1:3" s="121" customFormat="1" x14ac:dyDescent="0.2">
      <c r="A246"/>
      <c r="B246"/>
      <c r="C246"/>
    </row>
    <row r="247" spans="1:3" s="121" customFormat="1" x14ac:dyDescent="0.2">
      <c r="A247"/>
      <c r="B247"/>
      <c r="C247"/>
    </row>
    <row r="248" spans="1:3" s="121" customFormat="1" x14ac:dyDescent="0.2">
      <c r="A248"/>
      <c r="B248"/>
      <c r="C248"/>
    </row>
  </sheetData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9459-056A-4315-81CD-27575CCD996C}">
  <sheetPr codeName="Sheet9"/>
  <dimension ref="A1:I27"/>
  <sheetViews>
    <sheetView workbookViewId="0">
      <selection activeCell="U52" sqref="U52"/>
    </sheetView>
  </sheetViews>
  <sheetFormatPr defaultColWidth="9.140625" defaultRowHeight="12.75" x14ac:dyDescent="0.2"/>
  <cols>
    <col min="1" max="1" width="13.42578125" style="4" bestFit="1" customWidth="1"/>
    <col min="2" max="2" width="9.85546875" style="4" bestFit="1" customWidth="1"/>
    <col min="3" max="5" width="9.140625" style="4"/>
    <col min="6" max="6" width="12.7109375" style="4" customWidth="1"/>
    <col min="7" max="7" width="9.140625" style="4"/>
    <col min="8" max="8" width="12.42578125" style="4" customWidth="1"/>
    <col min="9" max="16384" width="9.140625" style="4"/>
  </cols>
  <sheetData>
    <row r="1" spans="1:6" ht="13.5" thickBot="1" x14ac:dyDescent="0.25">
      <c r="A1" s="3" t="s">
        <v>13</v>
      </c>
      <c r="B1" s="3" t="s">
        <v>14</v>
      </c>
      <c r="C1" s="3" t="s">
        <v>15</v>
      </c>
      <c r="D1" s="3" t="s">
        <v>16</v>
      </c>
    </row>
    <row r="2" spans="1:6" x14ac:dyDescent="0.2">
      <c r="A2" s="5" t="s">
        <v>20</v>
      </c>
      <c r="B2" s="6" t="s">
        <v>0</v>
      </c>
      <c r="C2" s="7" t="s">
        <v>1</v>
      </c>
      <c r="D2" s="6">
        <v>1</v>
      </c>
      <c r="E2" s="197" t="s">
        <v>17</v>
      </c>
      <c r="F2" s="199" t="s">
        <v>29</v>
      </c>
    </row>
    <row r="3" spans="1:6" ht="13.5" thickBot="1" x14ac:dyDescent="0.25">
      <c r="A3" s="13" t="s">
        <v>20</v>
      </c>
      <c r="B3" s="10" t="s">
        <v>21</v>
      </c>
      <c r="C3" s="9" t="s">
        <v>1</v>
      </c>
      <c r="D3" s="10">
        <v>1</v>
      </c>
      <c r="E3" s="198"/>
      <c r="F3" s="200"/>
    </row>
    <row r="4" spans="1:6" x14ac:dyDescent="0.2">
      <c r="A4" s="5" t="s">
        <v>20</v>
      </c>
      <c r="B4" s="6" t="s">
        <v>21</v>
      </c>
      <c r="C4" s="7" t="s">
        <v>1</v>
      </c>
      <c r="D4" s="6">
        <v>1</v>
      </c>
      <c r="E4" s="197" t="s">
        <v>18</v>
      </c>
      <c r="F4" s="199" t="s">
        <v>31</v>
      </c>
    </row>
    <row r="5" spans="1:6" ht="13.5" thickBot="1" x14ac:dyDescent="0.25">
      <c r="A5" s="13" t="s">
        <v>20</v>
      </c>
      <c r="B5" s="10" t="s">
        <v>2</v>
      </c>
      <c r="C5" s="9" t="s">
        <v>1</v>
      </c>
      <c r="D5" s="10">
        <v>1</v>
      </c>
      <c r="E5" s="198"/>
      <c r="F5" s="200"/>
    </row>
    <row r="6" spans="1:6" x14ac:dyDescent="0.2">
      <c r="A6" s="5" t="s">
        <v>20</v>
      </c>
      <c r="B6" s="6" t="s">
        <v>2</v>
      </c>
      <c r="C6" s="7" t="s">
        <v>1</v>
      </c>
      <c r="D6" s="6">
        <v>1</v>
      </c>
      <c r="E6" s="197" t="s">
        <v>19</v>
      </c>
      <c r="F6" s="199" t="s">
        <v>32</v>
      </c>
    </row>
    <row r="7" spans="1:6" ht="13.5" thickBot="1" x14ac:dyDescent="0.25">
      <c r="A7" s="13" t="s">
        <v>20</v>
      </c>
      <c r="B7" s="10" t="s">
        <v>3</v>
      </c>
      <c r="C7" s="9" t="s">
        <v>1</v>
      </c>
      <c r="D7" s="10">
        <v>1</v>
      </c>
      <c r="E7" s="198"/>
      <c r="F7" s="200"/>
    </row>
    <row r="8" spans="1:6" x14ac:dyDescent="0.2">
      <c r="A8" s="5" t="s">
        <v>20</v>
      </c>
      <c r="B8" s="6" t="s">
        <v>3</v>
      </c>
      <c r="C8" s="7" t="s">
        <v>1</v>
      </c>
      <c r="D8" s="6">
        <v>1</v>
      </c>
      <c r="E8" s="197" t="s">
        <v>22</v>
      </c>
      <c r="F8" s="199" t="s">
        <v>32</v>
      </c>
    </row>
    <row r="9" spans="1:6" ht="13.5" thickBot="1" x14ac:dyDescent="0.25">
      <c r="A9" s="13" t="s">
        <v>20</v>
      </c>
      <c r="B9" s="10" t="s">
        <v>23</v>
      </c>
      <c r="C9" s="9" t="s">
        <v>1</v>
      </c>
      <c r="D9" s="10">
        <v>1</v>
      </c>
      <c r="E9" s="198"/>
      <c r="F9" s="200"/>
    </row>
    <row r="10" spans="1:6" x14ac:dyDescent="0.2">
      <c r="A10" s="5" t="s">
        <v>20</v>
      </c>
      <c r="B10" s="6" t="s">
        <v>0</v>
      </c>
      <c r="C10" s="7" t="s">
        <v>28</v>
      </c>
      <c r="D10" s="6">
        <v>1</v>
      </c>
      <c r="E10" s="197" t="s">
        <v>17</v>
      </c>
      <c r="F10" s="199" t="s">
        <v>30</v>
      </c>
    </row>
    <row r="11" spans="1:6" ht="13.5" thickBot="1" x14ac:dyDescent="0.25">
      <c r="A11" s="13" t="s">
        <v>20</v>
      </c>
      <c r="B11" s="10" t="s">
        <v>21</v>
      </c>
      <c r="C11" s="9" t="s">
        <v>28</v>
      </c>
      <c r="D11" s="10">
        <v>1</v>
      </c>
      <c r="E11" s="198"/>
      <c r="F11" s="200"/>
    </row>
    <row r="12" spans="1:6" x14ac:dyDescent="0.2">
      <c r="A12" s="5" t="s">
        <v>20</v>
      </c>
      <c r="B12" s="6" t="s">
        <v>21</v>
      </c>
      <c r="C12" s="7" t="s">
        <v>28</v>
      </c>
      <c r="D12" s="6">
        <v>1</v>
      </c>
      <c r="E12" s="197" t="s">
        <v>18</v>
      </c>
      <c r="F12" s="199" t="s">
        <v>33</v>
      </c>
    </row>
    <row r="13" spans="1:6" ht="13.5" thickBot="1" x14ac:dyDescent="0.25">
      <c r="A13" s="13" t="s">
        <v>20</v>
      </c>
      <c r="B13" s="10" t="s">
        <v>2</v>
      </c>
      <c r="C13" s="9" t="s">
        <v>28</v>
      </c>
      <c r="D13" s="10">
        <v>1</v>
      </c>
      <c r="E13" s="198"/>
      <c r="F13" s="200"/>
    </row>
    <row r="14" spans="1:6" x14ac:dyDescent="0.2">
      <c r="A14" s="5" t="s">
        <v>20</v>
      </c>
      <c r="B14" s="6" t="s">
        <v>2</v>
      </c>
      <c r="C14" s="7" t="s">
        <v>28</v>
      </c>
      <c r="D14" s="6">
        <v>1</v>
      </c>
      <c r="E14" s="197" t="s">
        <v>19</v>
      </c>
      <c r="F14" s="199" t="s">
        <v>34</v>
      </c>
    </row>
    <row r="15" spans="1:6" ht="13.5" thickBot="1" x14ac:dyDescent="0.25">
      <c r="A15" s="13" t="s">
        <v>20</v>
      </c>
      <c r="B15" s="10" t="s">
        <v>3</v>
      </c>
      <c r="C15" s="9" t="s">
        <v>28</v>
      </c>
      <c r="D15" s="10">
        <v>1</v>
      </c>
      <c r="E15" s="198"/>
      <c r="F15" s="200"/>
    </row>
    <row r="16" spans="1:6" x14ac:dyDescent="0.2">
      <c r="A16" s="5" t="s">
        <v>20</v>
      </c>
      <c r="B16" s="6" t="s">
        <v>3</v>
      </c>
      <c r="C16" s="7" t="s">
        <v>28</v>
      </c>
      <c r="D16" s="6">
        <v>1</v>
      </c>
      <c r="E16" s="197" t="s">
        <v>22</v>
      </c>
      <c r="F16" s="199" t="s">
        <v>35</v>
      </c>
    </row>
    <row r="17" spans="1:9" ht="13.5" thickBot="1" x14ac:dyDescent="0.25">
      <c r="A17" s="13" t="s">
        <v>20</v>
      </c>
      <c r="B17" s="10" t="s">
        <v>23</v>
      </c>
      <c r="C17" s="9" t="s">
        <v>28</v>
      </c>
      <c r="D17" s="10">
        <v>1</v>
      </c>
      <c r="E17" s="198"/>
      <c r="F17" s="200"/>
    </row>
    <row r="18" spans="1:9" x14ac:dyDescent="0.2">
      <c r="A18" s="4" t="s">
        <v>27</v>
      </c>
      <c r="B18" s="4" t="s">
        <v>0</v>
      </c>
      <c r="C18" s="4" t="s">
        <v>1</v>
      </c>
      <c r="D18" s="8">
        <v>1</v>
      </c>
    </row>
    <row r="19" spans="1:9" x14ac:dyDescent="0.2">
      <c r="A19" s="4" t="s">
        <v>27</v>
      </c>
      <c r="B19" s="4" t="s">
        <v>0</v>
      </c>
      <c r="C19" s="4" t="s">
        <v>24</v>
      </c>
      <c r="D19" s="8">
        <v>1</v>
      </c>
    </row>
    <row r="20" spans="1:9" x14ac:dyDescent="0.2">
      <c r="A20" s="4" t="s">
        <v>27</v>
      </c>
      <c r="B20" s="4" t="s">
        <v>12</v>
      </c>
      <c r="C20" s="4" t="s">
        <v>1</v>
      </c>
      <c r="D20" s="8">
        <v>1</v>
      </c>
    </row>
    <row r="21" spans="1:9" ht="13.5" thickBot="1" x14ac:dyDescent="0.25">
      <c r="A21" s="9" t="s">
        <v>27</v>
      </c>
      <c r="B21" s="9" t="s">
        <v>12</v>
      </c>
      <c r="C21" s="9" t="s">
        <v>24</v>
      </c>
      <c r="D21" s="10">
        <v>1</v>
      </c>
      <c r="E21" s="9"/>
      <c r="F21" s="9"/>
      <c r="G21" s="9"/>
      <c r="H21" s="9"/>
    </row>
    <row r="22" spans="1:9" x14ac:dyDescent="0.2">
      <c r="A22" s="5" t="str">
        <f>E22&amp;"-"&amp;F22&amp;"-"&amp;G22</f>
        <v>1G-SP1-IS1</v>
      </c>
      <c r="B22" s="6"/>
      <c r="C22" s="7"/>
      <c r="D22" s="6">
        <v>2</v>
      </c>
      <c r="E22" s="7" t="s">
        <v>6</v>
      </c>
      <c r="F22" s="7" t="s">
        <v>4</v>
      </c>
      <c r="G22" s="7" t="s">
        <v>5</v>
      </c>
      <c r="H22" s="201" t="s">
        <v>25</v>
      </c>
      <c r="I22" s="4" t="s">
        <v>26</v>
      </c>
    </row>
    <row r="23" spans="1:9" x14ac:dyDescent="0.2">
      <c r="A23" s="14" t="str">
        <f>E23&amp;"-"&amp;F23&amp;"-"&amp;G23</f>
        <v>PWR-SP1-IS1</v>
      </c>
      <c r="B23" s="8"/>
      <c r="D23" s="8">
        <v>2</v>
      </c>
      <c r="E23" s="11" t="s">
        <v>7</v>
      </c>
      <c r="F23" s="11" t="str">
        <f>F22</f>
        <v>SP1</v>
      </c>
      <c r="G23" s="11" t="str">
        <f>G22</f>
        <v>IS1</v>
      </c>
      <c r="H23" s="202"/>
    </row>
    <row r="24" spans="1:9" x14ac:dyDescent="0.2">
      <c r="A24" s="14" t="str">
        <f>E24&amp;"-"&amp;F24&amp;"-"&amp;G24</f>
        <v>1G-SP2-IS2</v>
      </c>
      <c r="B24" s="8"/>
      <c r="D24" s="8">
        <v>2</v>
      </c>
      <c r="E24" s="4" t="s">
        <v>6</v>
      </c>
      <c r="F24" s="4" t="s">
        <v>9</v>
      </c>
      <c r="G24" s="4" t="s">
        <v>11</v>
      </c>
      <c r="H24" s="202"/>
    </row>
    <row r="25" spans="1:9" x14ac:dyDescent="0.2">
      <c r="A25" s="14" t="str">
        <f>E25&amp;"-"&amp;F25&amp;"-"&amp;G25</f>
        <v>PWR-SP2-IS2</v>
      </c>
      <c r="B25" s="8"/>
      <c r="D25" s="8">
        <v>2</v>
      </c>
      <c r="E25" s="11" t="s">
        <v>7</v>
      </c>
      <c r="F25" s="11" t="str">
        <f>F24</f>
        <v>SP2</v>
      </c>
      <c r="G25" s="11" t="str">
        <f>G24</f>
        <v>IS2</v>
      </c>
      <c r="H25" s="202"/>
    </row>
    <row r="26" spans="1:9" x14ac:dyDescent="0.2">
      <c r="A26" s="14" t="str">
        <f t="shared" ref="A26:A27" si="0">E26&amp;"-"&amp;F26&amp;"-"&amp;G26</f>
        <v>1G-SP3-IS3</v>
      </c>
      <c r="B26" s="8"/>
      <c r="D26" s="8">
        <v>2</v>
      </c>
      <c r="E26" s="4" t="s">
        <v>6</v>
      </c>
      <c r="F26" s="4" t="s">
        <v>10</v>
      </c>
      <c r="G26" s="4" t="s">
        <v>8</v>
      </c>
      <c r="H26" s="202"/>
    </row>
    <row r="27" spans="1:9" ht="13.5" thickBot="1" x14ac:dyDescent="0.25">
      <c r="A27" s="13" t="str">
        <f t="shared" si="0"/>
        <v>PWR-SP3-IS3</v>
      </c>
      <c r="B27" s="10"/>
      <c r="C27" s="9"/>
      <c r="D27" s="10">
        <v>2</v>
      </c>
      <c r="E27" s="12" t="s">
        <v>7</v>
      </c>
      <c r="F27" s="12" t="str">
        <f>F26</f>
        <v>SP3</v>
      </c>
      <c r="G27" s="12" t="str">
        <f>G26</f>
        <v>IS3</v>
      </c>
      <c r="H27" s="203"/>
    </row>
  </sheetData>
  <mergeCells count="17">
    <mergeCell ref="H22:H27"/>
    <mergeCell ref="E10:E11"/>
    <mergeCell ref="E12:E13"/>
    <mergeCell ref="E14:E15"/>
    <mergeCell ref="E16:E17"/>
    <mergeCell ref="F10:F11"/>
    <mergeCell ref="F12:F13"/>
    <mergeCell ref="F14:F15"/>
    <mergeCell ref="F16:F17"/>
    <mergeCell ref="E2:E3"/>
    <mergeCell ref="E6:E7"/>
    <mergeCell ref="E8:E9"/>
    <mergeCell ref="E4:E5"/>
    <mergeCell ref="F2:F3"/>
    <mergeCell ref="F4:F5"/>
    <mergeCell ref="F6:F7"/>
    <mergeCell ref="F8:F9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7C82-08BE-402A-A053-FCB91EAE730C}">
  <sheetPr codeName="Sheet10"/>
  <dimension ref="A1:B8"/>
  <sheetViews>
    <sheetView workbookViewId="0">
      <selection activeCell="G24" sqref="G24:G25"/>
    </sheetView>
  </sheetViews>
  <sheetFormatPr defaultRowHeight="12.75" x14ac:dyDescent="0.2"/>
  <sheetData>
    <row r="1" spans="1:2" x14ac:dyDescent="0.2">
      <c r="A1" t="s">
        <v>41</v>
      </c>
    </row>
    <row r="2" spans="1:2" x14ac:dyDescent="0.2">
      <c r="A2" t="s">
        <v>42</v>
      </c>
      <c r="B2" t="s">
        <v>42</v>
      </c>
    </row>
    <row r="3" spans="1:2" x14ac:dyDescent="0.2">
      <c r="A3" t="s">
        <v>43</v>
      </c>
      <c r="B3" t="s">
        <v>45</v>
      </c>
    </row>
    <row r="4" spans="1:2" x14ac:dyDescent="0.2">
      <c r="A4" t="s">
        <v>47</v>
      </c>
      <c r="B4" t="s">
        <v>44</v>
      </c>
    </row>
    <row r="5" spans="1:2" x14ac:dyDescent="0.2">
      <c r="A5" t="s">
        <v>46</v>
      </c>
      <c r="B5" t="s">
        <v>45</v>
      </c>
    </row>
    <row r="6" spans="1:2" x14ac:dyDescent="0.2">
      <c r="A6" t="s">
        <v>48</v>
      </c>
      <c r="B6" t="s">
        <v>48</v>
      </c>
    </row>
    <row r="7" spans="1:2" x14ac:dyDescent="0.2">
      <c r="A7" t="s">
        <v>71</v>
      </c>
      <c r="B7" t="s">
        <v>71</v>
      </c>
    </row>
    <row r="8" spans="1:2" x14ac:dyDescent="0.2">
      <c r="A8" t="s">
        <v>95</v>
      </c>
      <c r="B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Cell Info</vt:lpstr>
      <vt:lpstr>Device Cables</vt:lpstr>
      <vt:lpstr>PRNT Device Cables</vt:lpstr>
      <vt:lpstr>PRNT Device Labels</vt:lpstr>
      <vt:lpstr>Artifact Labels</vt:lpstr>
      <vt:lpstr>PRNT Artifact Labels</vt:lpstr>
      <vt:lpstr>Air Handler &amp; Pedestal Labels</vt:lpstr>
      <vt:lpstr>PRNT AH &amp; PED Labels</vt:lpstr>
      <vt:lpstr>ENC to Device Cables</vt:lpstr>
      <vt:lpstr>PRNT ENC Cables</vt:lpstr>
      <vt:lpstr>PRNT ENC Devices</vt:lpstr>
      <vt:lpstr>ENC Labels</vt:lpstr>
      <vt:lpstr>PRNT ENC Labels</vt:lpstr>
      <vt:lpstr>Stand labels</vt:lpstr>
      <vt:lpstr>PRNT Stand labels</vt:lpstr>
      <vt:lpstr>JIG DETAIL LABELS</vt:lpstr>
      <vt:lpstr>PRNT JIG DETAIL LABELS</vt:lpstr>
      <vt:lpstr>FORMULA</vt:lpstr>
      <vt:lpstr>LOOKUP</vt:lpstr>
      <vt:lpstr>'Air Handler &amp; Pedestal Labels'!Print_Area</vt:lpstr>
      <vt:lpstr>'Artifact Labels'!Print_Area</vt:lpstr>
      <vt:lpstr>'Cell Info'!Print_Area</vt:lpstr>
      <vt:lpstr>'Device Cables'!Print_Area</vt:lpstr>
      <vt:lpstr>'ENC Labels'!Print_Area</vt:lpstr>
      <vt:lpstr>'ENC to Device Cables'!Print_Area</vt:lpstr>
      <vt:lpstr>'PRNT Device Cables'!Print_Area</vt:lpstr>
      <vt:lpstr>'PRNT ENC Cables'!Print_Area</vt:lpstr>
      <vt:lpstr>'PRNT ENC Labels'!Print_Area</vt:lpstr>
      <vt:lpstr>'Stand labels'!Print_Area</vt:lpstr>
      <vt:lpstr>'Device Cables'!Print_Titles</vt:lpstr>
      <vt:lpstr>'ENC to Device Cables'!Print_Titles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Hauke</dc:creator>
  <cp:lastModifiedBy>Travis Strickland</cp:lastModifiedBy>
  <cp:lastPrinted>2026-05-21T19:25:32Z</cp:lastPrinted>
  <dcterms:created xsi:type="dcterms:W3CDTF">2021-09-16T19:53:15Z</dcterms:created>
  <dcterms:modified xsi:type="dcterms:W3CDTF">2026-05-21T19:25:36Z</dcterms:modified>
</cp:coreProperties>
</file>